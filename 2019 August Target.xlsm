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 Files\"/>
    </mc:Choice>
  </mc:AlternateContent>
  <xr:revisionPtr revIDLastSave="0" documentId="13_ncr:1_{3203FB41-4C01-4D46-B41D-A4632C1EC980}" xr6:coauthVersionLast="43" xr6:coauthVersionMax="43" xr10:uidLastSave="{00000000-0000-0000-0000-000000000000}"/>
  <bookViews>
    <workbookView xWindow="28680" yWindow="-120" windowWidth="29040" windowHeight="15840" xr2:uid="{00000000-000D-0000-FFFF-FFFF00000000}"/>
  </bookViews>
  <sheets>
    <sheet name="Dashboard" sheetId="14" r:id="rId1"/>
    <sheet name="TechsReport" sheetId="273" r:id="rId2"/>
    <sheet name="Control" sheetId="1" r:id="rId3"/>
  </sheets>
  <definedNames>
    <definedName name="DEBTORS.balance">#REF!</definedName>
    <definedName name="DEBTORS.branch">#REF!</definedName>
    <definedName name="DEBTORS.chassis">#REF!</definedName>
    <definedName name="DEBTORS.claimref">#REF!</definedName>
    <definedName name="DEBTORS.customer">#REF!</definedName>
    <definedName name="DEBTORS.date">#REF!</definedName>
    <definedName name="DEBTORS.job">#REF!</definedName>
    <definedName name="DEBTORS.make">#REF!</definedName>
    <definedName name="DEBTORS.model">#REF!</definedName>
    <definedName name="DEBTORS.paymentreceived">#REF!</definedName>
    <definedName name="DEBTORS.ref">#REF!</definedName>
    <definedName name="DEBTORS.regno">#REF!</definedName>
    <definedName name="DEBTORS.submitted">#REF!</definedName>
    <definedName name="TechsReport.attendedtime">TechsReport!$M:$M</definedName>
    <definedName name="TechsReport.clockedonjobs">TechsReport!$N:$N</definedName>
    <definedName name="TechsReport.date">TechsReport!$C:$C</definedName>
    <definedName name="TechsReport.effpercent">TechsReport!$L:$L</definedName>
    <definedName name="TechsReport.hourssold">TechsReport!$E:$E</definedName>
    <definedName name="TechsReport.hourstaken">TechsReport!$D:$D</definedName>
    <definedName name="TechsReport.labourcos">TechsReport!$G:$G</definedName>
    <definedName name="TechsReport.labourprofit">TechsReport!$H:$H</definedName>
    <definedName name="TechsReport.labourrecovery">TechsReport!$K:$K</definedName>
    <definedName name="TechsReport.laboursold">TechsReport!$F:$F</definedName>
    <definedName name="TechsReport.menudiscount">TechsReport!$J:$J</definedName>
    <definedName name="TechsReport.name">TechsReport!$B:$B</definedName>
    <definedName name="TechsReport.no">TechsReport!$A:$A</definedName>
    <definedName name="TechsReport.nonproductive">TechsReport!$O:$O</definedName>
    <definedName name="TechsReport.parts">TechsReport!$I:$I</definedName>
    <definedName name="TechsReport.utilisationpercent">TechsReport!$P:$P</definedName>
    <definedName name="TechsReport.wipadj">TechsReport!$Q:$Q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9" i="1" l="1"/>
  <c r="B8" i="1"/>
  <c r="J19" i="14" l="1"/>
  <c r="J21" i="14" s="1"/>
  <c r="J22" i="14"/>
  <c r="C26" i="14"/>
  <c r="E22" i="14" l="1"/>
  <c r="E24" i="14" l="1"/>
  <c r="H9" i="14" l="1"/>
  <c r="F24" i="14" s="1"/>
  <c r="I9" i="14"/>
  <c r="C9" i="14"/>
  <c r="D9" i="14"/>
  <c r="E9" i="14"/>
  <c r="F9" i="14"/>
  <c r="L9" i="14" l="1"/>
  <c r="N9" i="14"/>
  <c r="J9" i="14"/>
  <c r="K9" i="14" s="1"/>
  <c r="M9" i="14"/>
  <c r="C29" i="14"/>
  <c r="I20" i="14" s="1"/>
  <c r="J20" i="14" s="1"/>
  <c r="E21" i="14"/>
  <c r="E20" i="14"/>
  <c r="E19" i="14"/>
  <c r="I8" i="14"/>
  <c r="H8" i="14"/>
  <c r="F22" i="14" s="1"/>
  <c r="F8" i="14"/>
  <c r="E8" i="14"/>
  <c r="D8" i="14"/>
  <c r="C8" i="14"/>
  <c r="I13" i="14"/>
  <c r="H13" i="14"/>
  <c r="F13" i="14"/>
  <c r="E13" i="14"/>
  <c r="D13" i="14"/>
  <c r="C13" i="14"/>
  <c r="I7" i="14"/>
  <c r="H7" i="14"/>
  <c r="F7" i="14"/>
  <c r="E7" i="14"/>
  <c r="D7" i="14"/>
  <c r="C7" i="14"/>
  <c r="I6" i="14"/>
  <c r="H6" i="14"/>
  <c r="F6" i="14"/>
  <c r="E6" i="14"/>
  <c r="D6" i="14"/>
  <c r="C6" i="14"/>
  <c r="I5" i="14"/>
  <c r="H5" i="14"/>
  <c r="F5" i="14"/>
  <c r="E5" i="14"/>
  <c r="D5" i="14"/>
  <c r="C5" i="14"/>
  <c r="C27" i="14" l="1"/>
  <c r="I19" i="14" s="1"/>
  <c r="F21" i="14"/>
  <c r="N6" i="14"/>
  <c r="M7" i="14"/>
  <c r="J8" i="14"/>
  <c r="K8" i="14" s="1"/>
  <c r="J6" i="14"/>
  <c r="K6" i="14" s="1"/>
  <c r="I11" i="14"/>
  <c r="I15" i="14" s="1"/>
  <c r="J5" i="14"/>
  <c r="K5" i="14" s="1"/>
  <c r="M6" i="14"/>
  <c r="J13" i="14"/>
  <c r="K20" i="14" s="1"/>
  <c r="M8" i="14"/>
  <c r="L5" i="14"/>
  <c r="F19" i="14"/>
  <c r="N7" i="14"/>
  <c r="D11" i="14"/>
  <c r="D15" i="14" s="1"/>
  <c r="H11" i="14"/>
  <c r="H15" i="14" s="1"/>
  <c r="E11" i="14"/>
  <c r="E15" i="14" s="1"/>
  <c r="C11" i="14"/>
  <c r="N13" i="14"/>
  <c r="N5" i="14"/>
  <c r="L6" i="14"/>
  <c r="F20" i="14"/>
  <c r="L7" i="14"/>
  <c r="M13" i="14"/>
  <c r="L8" i="14"/>
  <c r="M5" i="14"/>
  <c r="J7" i="14"/>
  <c r="K7" i="14" s="1"/>
  <c r="F11" i="14"/>
  <c r="L13" i="14"/>
  <c r="N8" i="14"/>
  <c r="I22" i="14" l="1"/>
  <c r="L11" i="14"/>
  <c r="K13" i="14"/>
  <c r="J11" i="14"/>
  <c r="C15" i="14"/>
  <c r="L15" i="14" s="1"/>
  <c r="N11" i="14"/>
  <c r="K25" i="14" s="1"/>
  <c r="M11" i="14"/>
  <c r="F15" i="14"/>
  <c r="K11" i="14" l="1"/>
  <c r="K24" i="14" s="1"/>
  <c r="K19" i="14"/>
  <c r="K21" i="14" s="1"/>
  <c r="I23" i="14"/>
  <c r="J23" i="14" s="1"/>
  <c r="J15" i="14"/>
  <c r="K22" i="14" s="1"/>
  <c r="N15" i="14"/>
  <c r="M15" i="14"/>
  <c r="K23" i="14" l="1"/>
  <c r="K15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45999.775.4087.440D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" htmlTables="1" htmlFormat="all"/>
  </connection>
  <connection id="2" xr16:uid="{00000000-0015-0000-FFFF-FFFF01000000}" name="1945999.775.4087.440D.11D92_616D7068696C6C69702E646D73657276696365732E636F2E756B,1,XML_DEBTORS_TRANSACTIONS,xml,02,1.2.3.4.5.6.7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3" xr16:uid="{00000000-0015-0000-FFFF-FFFF02000000}" name="1945999.775.4087.440D.11D92_616D7068696C6C69702E646D73657276696365732E636F2E756B,1,XML_DEBTORS_TRANSACTIONS,xml,02,1.2.3.4.5.6.71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4" xr16:uid="{00000000-0015-0000-FFFF-FFFF03000000}" name="1945999.775.4087.440D.11D92_616D7068696C6C69702E646D73657276696365732E636F2E756B,1,XML_DEBTORS_TRANSACTIONS,xml,02,1.2.3.4.5.6.710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5" xr16:uid="{00000000-0015-0000-FFFF-FFFF04000000}" name="1945999.775.4087.440D.11D92_616D7068696C6C69702E646D73657276696365732E636F2E756B,1,XML_DEBTORS_TRANSACTIONS,xml,02,1.2.3.4.5.6.711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6" xr16:uid="{00000000-0015-0000-FFFF-FFFF05000000}" name="1945999.775.4087.440D.11D92_616D7068696C6C69702E646D73657276696365732E636F2E756B,1,XML_DEBTORS_TRANSACTIONS,xml,02,1.2.3.4.5.6.712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7" xr16:uid="{00000000-0015-0000-FFFF-FFFF06000000}" name="1945999.775.4087.440D.11D92_616D7068696C6C69702E646D73657276696365732E636F2E756B,1,XML_DEBTORS_TRANSACTIONS,xml,02,1.2.3.4.5.6.713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8" xr16:uid="{00000000-0015-0000-FFFF-FFFF07000000}" name="1945999.775.4087.440D.11D92_616D7068696C6C69702E646D73657276696365732E636F2E756B,1,XML_DEBTORS_TRANSACTIONS,xml,02,1.2.3.4.5.6.714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9" xr16:uid="{00000000-0015-0000-FFFF-FFFF08000000}" name="1945999.775.4087.440D.11D92_616D7068696C6C69702E646D73657276696365732E636F2E756B,1,XML_DEBTORS_TRANSACTIONS,xml,02,1.2.3.4.5.6.715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10" xr16:uid="{00000000-0015-0000-FFFF-FFFF09000000}" name="1945999.775.4087.440D.11D92_616D7068696C6C69702E646D73657276696365732E636F2E756B,1,XML_DEBTORS_TRANSACTIONS,xml,02,1.2.3.4.5.6.716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11" xr16:uid="{00000000-0015-0000-FFFF-FFFF0A000000}" name="1945999.775.4087.440D.11D92_616D7068696C6C69702E646D73657276696365732E636F2E756B,1,XML_DEBTORS_TRANSACTIONS,xml,02,1.2.3.4.5.6.717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12" xr16:uid="{00000000-0015-0000-FFFF-FFFF0B000000}" name="1945999.775.4087.440D.11D92_616D7068696C6C69702E646D73657276696365732E636F2E756B,1,XML_DEBTORS_TRANSACTIONS,xml,02,1.2.3.4.5.6.718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13" xr16:uid="{00000000-0015-0000-FFFF-FFFF0C000000}" name="1945999.775.4087.440D.11D92_616D7068696C6C69702E646D73657276696365732E636F2E756B,1,XML_DEBTORS_TRANSACTIONS,xml,02,1.2.3.4.5.6.72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14" xr16:uid="{00000000-0015-0000-FFFF-FFFF0D000000}" name="1945999.775.4087.440D.11D92_616D7068696C6C69702E646D73657276696365732E636F2E756B,1,XML_DEBTORS_TRANSACTIONS,xml,02,1.2.3.4.5.6.73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15" xr16:uid="{00000000-0015-0000-FFFF-FFFF0E000000}" name="1945999.775.4087.440D.11D92_616D7068696C6C69702E646D73657276696365732E636F2E756B,1,XML_DEBTORS_TRANSACTIONS,xml,02,1.2.3.4.5.6.74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16" xr16:uid="{00000000-0015-0000-FFFF-FFFF0F000000}" name="1945999.775.4087.440D.11D92_616D7068696C6C69702E646D73657276696365732E636F2E756B,1,XML_DEBTORS_TRANSACTIONS,xml,02,1.2.3.4.5.6.75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17" xr16:uid="{00000000-0015-0000-FFFF-FFFF10000000}" name="1945999.775.4087.440D.11D92_616D7068696C6C69702E646D73657276696365732E636F2E756B,1,XML_DEBTORS_TRANSACTIONS,xml,02,1.2.3.4.5.6.76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18" xr16:uid="{00000000-0015-0000-FFFF-FFFF11000000}" name="1945999.775.4087.440D.11D92_616D7068696C6C69702E646D73657276696365732E636F2E756B,1,XML_DEBTORS_TRANSACTIONS,xml,02,1.2.3.4.5.6.77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19" xr16:uid="{00000000-0015-0000-FFFF-FFFF12000000}" name="1945999.775.4087.440D.11D92_616D7068696C6C69702E646D73657276696365732E636F2E756B,1,XML_DEBTORS_TRANSACTIONS,xml,02,1.2.3.4.5.6.78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20" xr16:uid="{00000000-0015-0000-FFFF-FFFF13000000}" name="1945999.775.4087.440D.11D92_616D7068696C6C69702E646D73657276696365732E636F2E756B,1,XML_DEBTORS_TRANSACTIONS,xml,02,1.2.3.4.5.6.79" type="4" refreshedVersion="0" background="1">
    <webPr xml="1" sourceData="1" url="http://services.dmservices.co.uk/DmsNavigator.NavigatorWebService.svc/GetNavigatorReport/1945999.775.4087.440D.11D92_616D7068696C6C69702E646D73657276696365732E636F2E756B,1,XML_DEBTORS_TRANSACTIONS,xml,02,1.2.3.4.5.6.7.8,30" htmlTables="1" htmlFormat="all"/>
  </connection>
  <connection id="21" xr16:uid="{00000000-0015-0000-FFFF-FFFF14000000}" name="1945999.775.4087.440D.11D92_616D7068696C6C69702E646D73657276696365732E636F2E756B,1,XML_SALES_PROFIT,xml,1.2.3.4.5.6.7.8,01.01.15,30.09" type="4" refreshedVersion="0" background="1">
    <webPr xml="1" sourceData="1" url="http://services.dmservices.co.uk/DmsNavigator.NavigatorWebService.svc/GetNavigatorReport/1945999.775.4087.440D.11D92_616D7068696C6C69702E646D73657276696365732E636F2E756B,1,XML_SALES_PROFIT,xml,1.2.3.4.5.6.7.8,01.01.15,30.09.15,D" htmlTables="1" htmlFormat="all"/>
  </connection>
  <connection id="22" xr16:uid="{00000000-0015-0000-FFFF-FFFF15000000}" name="1945999.775.4087.440D.11D92_616D7068696C6C69702E646D73657276696365732E636F2E756B,1,XML_SALES_PROFIT,xml,1.2.3.4.5.6.7.8,01.09.15,30.09" type="4" refreshedVersion="0" background="1">
    <webPr xml="1" sourceData="1" url="http://services.dmservices.co.uk/DmsNavigator.NavigatorWebService.svc/GetNavigatorReport/1945999.775.4087.440D.11D92_616D7068696C6C69702E646D73657276696365732E636F2E756B,1,XML_SALES_PROFIT,xml,1.2.3.4.5.6.7.8,01.09.15,30.09.15,D" htmlTables="1" htmlFormat="all"/>
  </connection>
  <connection id="23" xr16:uid="{00000000-0015-0000-FFFF-FFFF16000000}" name="1945999.775.4087.440D.11D92_616D7068696C6C69702E646D73657276696365732E636F2E756B,1,XML_WARRANTY_DEBTORS,xml,,1.2.3.4.5.6.7" type="4" refreshedVersion="0" background="1">
    <webPr xml="1" sourceData="1" url="http://services.dmservices.co.uk/DmsNavigator.NavigatorWebService.svc/GetNavigatorReport/1945999.775.4087.440D.11D92_616D7068696C6C69702E646D73657276696365732E636F2E756B,1,XML_WARRANTY_DEBTORS,xml,,1.2.3.4.5.6.7.8" htmlTables="1" htmlFormat="all"/>
  </connection>
  <connection id="24" xr16:uid="{00000000-0015-0000-FFFF-FFFF17000000}" name="1945999.775.4087.440D.11D92_616D7068696C6C69702E646D73657276696365732E636F2E756B,1,XML_WARRANTY_DEBTORS,xml,1.2.3.4.5.6.7" type="4" refreshedVersion="0" background="1">
    <webPr xml="1" sourceData="1" url="http://services.dmservices.co.uk/DmsNavigator.NavigatorWebService.svc/GetNavigatorReport/1945999.775.4087.440D.11D92_616D7068696C6C69702E646D73657276696365732E636F2E756B,1,XML_WARRANTY_DEBTORS,xml,1.2.3.4.5.6.7.8" htmlTables="1" htmlFormat="all"/>
  </connection>
  <connection id="25" xr16:uid="{00000000-0015-0000-FFFF-FFFF18000000}" name="1945999.775.4087.440D.11D92_616D7068696C6C69702E646D73657276696365732E636F2E756B,1,XML_WARRANTY_DEBTORS,xml,1.2.3.4.5.6.71" type="4" refreshedVersion="0" background="1">
    <webPr xml="1" sourceData="1" url="http://services.dmservices.co.uk/DmsNavigator.NavigatorWebService.svc/GetNavigatorReport/1945999.775.4087.440D.11D92_616D7068696C6C69702E646D73657276696365732E636F2E756B,1,XML_WARRANTY_DEBTORS,xml,1.2.3.4.5.6.7.8" htmlTables="1" htmlFormat="all"/>
  </connection>
  <connection id="26" xr16:uid="{00000000-0015-0000-FFFF-FFFF19000000}" name="1945999.775.4087.440D.11D92_616D7068696C6C69702E646D73657276696365732E636F2E756B,1,XML_WARRANTY_DEBTORS,xml,1.2.3.4.5.6.72" type="4" refreshedVersion="0" background="1">
    <webPr xml="1" sourceData="1" url="http://services.dmservices.co.uk/DmsNavigator.NavigatorWebService.svc/GetNavigatorReport/1945999.775.4087.440D.11D92_616D7068696C6C69702E646D73657276696365732E636F2E756B,1,XML_WARRANTY_DEBTORS,xml,1.2.3.4.5.6.7.8" htmlTables="1" htmlFormat="all"/>
  </connection>
  <connection id="27" xr16:uid="{00000000-0015-0000-FFFF-FFFF1A000000}" name="1945999.775.4087.440D.11D92_616D7068696C6C69702E646D73657276696365732E636F2E756B,1,XML_WARRANTY_DEBTORS,xml,1.2.3.4.5.6.73" type="4" refreshedVersion="0" background="1">
    <webPr xml="1" sourceData="1" url="http://services.dmservices.co.uk/DmsNavigator.NavigatorWebService.svc/GetNavigatorReport/1945999.775.4087.440D.11D92_616D7068696C6C69702E646D73657276696365732E636F2E756B,1,XML_WARRANTY_DEBTORS,xml,1.2.3.4.5.6.7.8" htmlTables="1" htmlFormat="all"/>
  </connection>
  <connection id="28" xr16:uid="{00000000-0015-0000-FFFF-FFFF1B000000}" name="1945999.775.4087.440D.11D92_616D7068696C6C69702E646D73657276696365732E636F2E756B,1,XML_WARRANTY_DEBTORS,xml,1.2.3.4.5.6.74" type="4" refreshedVersion="0" background="1">
    <webPr xml="1" sourceData="1" url="http://services.dmservices.co.uk/DmsNavigator.NavigatorWebService.svc/GetNavigatorReport/1945999.775.4087.440D.11D92_616D7068696C6C69702E646D73657276696365732E636F2E756B,1,XML_WARRANTY_DEBTORS,xml,1.2.3.4.5.6.7.8" htmlTables="1" htmlFormat="all"/>
  </connection>
  <connection id="29" xr16:uid="{00000000-0015-0000-FFFF-FFFF1C000000}" name="1945999.775.4087.440D.11D92_616D7068696C6C69702E646D73657276696365732E636F2E756B,1,XML_WARRANTY_DEBTORS,xml,1.2.3.4.5.6.75" type="4" refreshedVersion="0" background="1">
    <webPr xml="1" sourceData="1" url="http://services.dmservices.co.uk/DmsNavigator.NavigatorWebService.svc/GetNavigatorReport/1945999.775.4087.440D.11D92_616D7068696C6C69702E646D73657276696365732E636F2E756B,1,XML_WARRANTY_DEBTORS,xml,1.2.3.4.5.6.7.8" htmlTables="1" htmlFormat="all"/>
  </connection>
  <connection id="30" xr16:uid="{00000000-0015-0000-FFFF-FFFF1D000000}" name="1945999.775.4087.440D.11D92_616D7068696C6C69702E646D73657276696365732E636F2E756B,1,XML_WARRANTY_DEBTORS,xml,1.2.3.4.5.6.76" type="4" refreshedVersion="0" background="1">
    <webPr xml="1" sourceData="1" url="http://services.dmservices.co.uk/DmsNavigator.NavigatorWebService.svc/GetNavigatorReport/1945999.775.4087.440D.11D92_616D7068696C6C69702E646D73657276696365732E636F2E756B,1,XML_WARRANTY_DEBTORS,xml,1.2.3.4.5.6.7.8" htmlTables="1" htmlFormat="all"/>
  </connection>
  <connection id="31" xr16:uid="{00000000-0015-0000-FFFF-FFFF1E000000}" name="1945999.775.4087.440D.11D92_616D7068696C6C69702E646D73657276696365732E636F2E756B,1,XML_WORK_IN_PROGRESS,xml,1.2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" htmlTables="1" htmlFormat="all"/>
  </connection>
  <connection id="32" xr16:uid="{00000000-0015-0000-FFFF-FFFF1F000000}" name="1945999.775.4087.440D.11D92_616D7068696C6C69702E646D73657276696365732E636F2E756B,1,XML_WORK_IN_PROGRESS,xml,1.2.3.4.5.6.7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.4.5.6.7.8" htmlTables="1" htmlFormat="all"/>
  </connection>
  <connection id="33" xr16:uid="{00000000-0015-0000-FFFF-FFFF20000000}" name="1945999.775.4087.440D.11D92_616D7068696C6C69702E646D73657276696365732E636F2E756B,1,XML_WORK_IN_PROGRESS,xml,1.2.3.4.5.6.71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.4.5.6.7.8" htmlTables="1" htmlFormat="all"/>
  </connection>
  <connection id="34" xr16:uid="{00000000-0015-0000-FFFF-FFFF21000000}" name="1945999.775.4087.440D.11D92_616D7068696C6C69702E646D73657276696365732E636F2E756B,1,XML_WORK_IN_PROGRESS,xml,1.2.3.4.5.6.710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.4.5.6.7.8" htmlTables="1" htmlFormat="all"/>
  </connection>
  <connection id="35" xr16:uid="{00000000-0015-0000-FFFF-FFFF22000000}" name="1945999.775.4087.440D.11D92_616D7068696C6C69702E646D73657276696365732E636F2E756B,1,XML_WORK_IN_PROGRESS,xml,1.2.3.4.5.6.711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.4.5.6.7.8" htmlTables="1" htmlFormat="all"/>
  </connection>
  <connection id="36" xr16:uid="{00000000-0015-0000-FFFF-FFFF23000000}" name="1945999.775.4087.440D.11D92_616D7068696C6C69702E646D73657276696365732E636F2E756B,1,XML_WORK_IN_PROGRESS,xml,1.2.3.4.5.6.712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.4.5.6.7.8" htmlTables="1" htmlFormat="all"/>
  </connection>
  <connection id="37" xr16:uid="{00000000-0015-0000-FFFF-FFFF24000000}" name="1945999.775.4087.440D.11D92_616D7068696C6C69702E646D73657276696365732E636F2E756B,1,XML_WORK_IN_PROGRESS,xml,1.2.3.4.5.6.713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.4.5.6.7.8" htmlTables="1" htmlFormat="all"/>
  </connection>
  <connection id="38" xr16:uid="{00000000-0015-0000-FFFF-FFFF25000000}" name="1945999.775.4087.440D.11D92_616D7068696C6C69702E646D73657276696365732E636F2E756B,1,XML_WORK_IN_PROGRESS,xml,1.2.3.4.5.6.714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.4.5.6.7.8" htmlTables="1" htmlFormat="all"/>
  </connection>
  <connection id="39" xr16:uid="{00000000-0015-0000-FFFF-FFFF26000000}" name="1945999.775.4087.440D.11D92_616D7068696C6C69702E646D73657276696365732E636F2E756B,1,XML_WORK_IN_PROGRESS,xml,1.2.3.4.5.6.72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.4.5.6.7.8" htmlTables="1" htmlFormat="all"/>
  </connection>
  <connection id="40" xr16:uid="{00000000-0015-0000-FFFF-FFFF27000000}" name="1945999.775.4087.440D.11D92_616D7068696C6C69702E646D73657276696365732E636F2E756B,1,XML_WORK_IN_PROGRESS,xml,1.2.3.4.5.6.73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.4.5.6.7.8" htmlTables="1" htmlFormat="all"/>
  </connection>
  <connection id="41" xr16:uid="{00000000-0015-0000-FFFF-FFFF28000000}" name="1945999.775.4087.440D.11D92_616D7068696C6C69702E646D73657276696365732E636F2E756B,1,XML_WORK_IN_PROGRESS,xml,1.2.3.4.5.6.74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.4.5.6.7.8" htmlTables="1" htmlFormat="all"/>
  </connection>
  <connection id="42" xr16:uid="{00000000-0015-0000-FFFF-FFFF29000000}" name="1945999.775.4087.440D.11D92_616D7068696C6C69702E646D73657276696365732E636F2E756B,1,XML_WORK_IN_PROGRESS,xml,1.2.3.4.5.6.75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.4.5.6.7.8" htmlTables="1" htmlFormat="all"/>
  </connection>
  <connection id="43" xr16:uid="{00000000-0015-0000-FFFF-FFFF2A000000}" name="1945999.775.4087.440D.11D92_616D7068696C6C69702E646D73657276696365732E636F2E756B,1,XML_WORK_IN_PROGRESS,xml,1.2.3.4.5.6.76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.4.5.6.7.8" htmlTables="1" htmlFormat="all"/>
  </connection>
  <connection id="44" xr16:uid="{00000000-0015-0000-FFFF-FFFF2B000000}" name="1945999.775.4087.440D.11D92_616D7068696C6C69702E646D73657276696365732E636F2E756B,1,XML_WORK_IN_PROGRESS,xml,1.2.3.4.5.6.77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.4.5.6.7.8" htmlTables="1" htmlFormat="all"/>
  </connection>
  <connection id="45" xr16:uid="{00000000-0015-0000-FFFF-FFFF2C000000}" name="1945999.775.4087.440D.11D92_616D7068696C6C69702E646D73657276696365732E636F2E756B,1,XML_WORK_IN_PROGRESS,xml,1.2.3.4.5.6.78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.4.5.6.7.8" htmlTables="1" htmlFormat="all"/>
  </connection>
  <connection id="46" xr16:uid="{00000000-0015-0000-FFFF-FFFF2D000000}" name="1945999.775.4087.440D.11D92_616D7068696C6C69702E646D73657276696365732E636F2E756B,1,XML_WORK_IN_PROGRESS,xml,1.2.3.4.5.6.79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.2.3.4.5.6.7.8" htmlTables="1" htmlFormat="all"/>
  </connection>
  <connection id="47" xr16:uid="{00000000-0015-0000-FFFF-FFFF2E000000}" name="1945999.775.4087.440D1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" htmlTables="1" htmlFormat="all"/>
  </connection>
  <connection id="48" xr16:uid="{00000000-0015-0000-FFFF-FFFF2F000000}" name="1945999.775.4087.440D2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" htmlTables="1" htmlFormat="all"/>
  </connection>
  <connection id="49" xr16:uid="{00000000-0015-0000-FFFF-FFFF30000000}" name="1945999.775.4087.440D3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" htmlTables="1" htmlFormat="all"/>
  </connection>
  <connection id="50" xr16:uid="{00000000-0015-0000-FFFF-FFFF31000000}" name="1945999.775.4087.440D4" type="4" refreshedVersion="0" background="1">
    <webPr xml="1" sourceData="1" url="http://services.dmservices.co.uk/DmsNavigator.NavigatorWebService.svc/GetNavigatorReport/1945999.775.4087.440D.11D92_616D7068696C6C69702E646D73657276696365732E636F2E756B,1,XML_WORK_IN_PROGRESS,xml,1" htmlTables="1" htmlFormat="all"/>
  </connection>
  <connection id="51" xr16:uid="{00000000-0015-0000-FFFF-FFFF32000000}" name="1945999.775.4087.440D5" type="4" refreshedVersion="0" background="1">
    <webPr xml="1" sourceData="1" url="http://services.dmservices.co.uk/DmsNavigator.NavigatorWebService.svc/GetNavigatorReport/1945999.775.4087.440D.11D92_616D7068696C6C69702E646D73657276696365732E636F2E756B,1,XML_WARRANTY_DEBTORS,xml,Transactons" htmlTables="1" htmlFormat="all"/>
  </connection>
  <connection id="52" xr16:uid="{CBEC12AC-CEBC-4E4C-B12A-8D34EEA90EBA}" name="194789.775.4087.4984.A70F_6269727761792E646D73657276696365732E636F2E756B,1,XML_WIN_WORKS_REPORT_TECHS_ANALYSIS,xml,01.08.2019,31.08" type="4" refreshedVersion="0" background="1">
    <webPr xml="1" sourceData="1" url="http://services.dmservices.co.uk/DmsNavigator.NavigatorWebService.svc/GetNavigatorReport/194789.775.4087.4984.A70F_6269727761792E646D73657276696365732E636F2E756B,1,XML_WIN_WORKS_REPORT_TECHS_ANALYSIS,xml,01.08.2019,31.08.2019,1,,,,," htmlTables="1" htmlFormat="all"/>
  </connection>
  <connection id="53" xr16:uid="{00000000-0015-0000-FFFF-FFFF33000000}" name="194991.775.4087.464A.7719_636F756E74796761726167652E646D73657276696365732E636F2E756B,1,XML_WIN_WORKS_REPORT_TECHS_ANALYSIS,xml,01.01.19,22.0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1.19,22.01.19,1,,,,," htmlTables="1" htmlFormat="all"/>
  </connection>
  <connection id="54" xr16:uid="{00000000-0015-0000-FFFF-FFFF34000000}" name="194991.775.4087.464A.7719_636F756E74796761726167652E646D73657276696365732E636F2E756B,1,XML_WIN_WORKS_REPORT_TECHS_ANALYSIS,xml,01.01.19,22.01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1.19,22.01.19,1,,,,," htmlTables="1" htmlFormat="all"/>
  </connection>
  <connection id="55" xr16:uid="{00000000-0015-0000-FFFF-FFFF35000000}" name="194991.775.4087.464A.7719_636F756E74796761726167652E646D73657276696365732E636F2E756B,1,XML_WIN_WORKS_REPORT_TECHS_ANALYSIS,xml,01.01.19,29.0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1.19,29.01.2019,1,,,,," htmlTables="1" htmlFormat="all"/>
  </connection>
  <connection id="56" xr16:uid="{00000000-0015-0000-FFFF-FFFF36000000}" name="194991.775.4087.464A.7719_636F756E74796761726167652E646D73657276696365732E636F2E756B,1,XML_WIN_WORKS_REPORT_TECHS_ANALYSIS,xml,01.01.19,31.0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1.19,31.01.19,1,,,,," htmlTables="1" htmlFormat="all"/>
  </connection>
  <connection id="57" xr16:uid="{00000000-0015-0000-FFFF-FFFF37000000}" name="194991.775.4087.464A.7719_636F756E74796761726167652E646D73657276696365732E636F2E756B,1,XML_WIN_WORKS_REPORT_TECHS_ANALYSIS,xml,01.01.19,31.01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1.19,31.01.19,1,,,,," htmlTables="1" htmlFormat="all"/>
  </connection>
  <connection id="58" xr16:uid="{00000000-0015-0000-FFFF-FFFF38000000}" name="194991.775.4087.464A.7719_636F756E74796761726167652E646D73657276696365732E636F2E756B,1,XML_WIN_WORKS_REPORT_TECHS_ANALYSIS,xml,01.01.19,31.01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1.19,31.01.19,1,,,,," htmlTables="1" htmlFormat="all"/>
  </connection>
  <connection id="59" xr16:uid="{00000000-0015-0000-FFFF-FFFF39000000}" name="194991.775.4087.464A.7719_636F756E74796761726167652E646D73657276696365732E636F2E756B,1,XML_WIN_WORKS_REPORT_TECHS_ANALYSIS,xml,01.02.18,14.0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2.18,14.02.18,1,,,,," htmlTables="1" htmlFormat="all"/>
  </connection>
  <connection id="60" xr16:uid="{00000000-0015-0000-FFFF-FFFF3A000000}" name="194991.775.4087.464A.7719_636F756E74796761726167652E646D73657276696365732E636F2E756B,1,XML_WIN_WORKS_REPORT_TECHS_ANALYSIS,xml,01.02.18,28.0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2.18,28.02.18,1,,,,," htmlTables="1" htmlFormat="all"/>
  </connection>
  <connection id="61" xr16:uid="{00000000-0015-0000-FFFF-FFFF3B000000}" name="194991.775.4087.464A.7719_636F756E74796761726167652E646D73657276696365732E636F2E756B,1,XML_WIN_WORKS_REPORT_TECHS_ANALYSIS,xml,01.02.18,28.02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2.18,28.02.18,1,,,,," htmlTables="1" htmlFormat="all"/>
  </connection>
  <connection id="62" xr16:uid="{00000000-0015-0000-FFFF-FFFF3C000000}" name="194991.775.4087.464A.7719_636F756E74796761726167652E646D73657276696365732E636F2E756B,1,XML_WIN_WORKS_REPORT_TECHS_ANALYSIS,xml,01.02.18,28.02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2.18,28.02.18,1,,,,," htmlTables="1" htmlFormat="all"/>
  </connection>
  <connection id="63" xr16:uid="{00000000-0015-0000-FFFF-FFFF3D000000}" name="194991.775.4087.464A.7719_636F756E74796761726167652E646D73657276696365732E636F2E756B,1,XML_WIN_WORKS_REPORT_TECHS_ANALYSIS,xml,01.02.18,28.02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2.18,28.02.18,1,,,,," htmlTables="1" htmlFormat="all"/>
  </connection>
  <connection id="64" xr16:uid="{00000000-0015-0000-FFFF-FFFF3E000000}" name="194991.775.4087.464A.7719_636F756E74796761726167652E646D73657276696365732E636F2E756B,1,XML_WIN_WORKS_REPORT_TECHS_ANALYSIS,xml,01.02.2018,28.0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2.2018,28.02.2018,1,,,,," htmlTables="1" htmlFormat="all"/>
  </connection>
  <connection id="65" xr16:uid="{00000000-0015-0000-FFFF-FFFF3F000000}" name="194991.775.4087.464A.7719_636F756E74796761726167652E646D73657276696365732E636F2E756B,1,XML_WIN_WORKS_REPORT_TECHS_ANALYSIS,xml,01.02.2019,28.0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2.2019,28.02.2019,1,,,,," htmlTables="1" htmlFormat="all"/>
  </connection>
  <connection id="66" xr16:uid="{00000000-0015-0000-FFFF-FFFF40000000}" name="194991.775.4087.464A.7719_636F756E74796761726167652E646D73657276696365732E636F2E756B,1,XML_WIN_WORKS_REPORT_TECHS_ANALYSIS,xml,01.02.2019,28.02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2.2019,28.02.2019,1,,,,," htmlTables="1" htmlFormat="all"/>
  </connection>
  <connection id="67" xr16:uid="{00000000-0015-0000-FFFF-FFFF41000000}" name="194991.775.4087.464A.7719_636F756E74796761726167652E646D73657276696365732E636F2E756B,1,XML_WIN_WORKS_REPORT_TECHS_ANALYSIS,xml,01.02.2019,28.02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2.2019,28.02.2019,1,,,,," htmlTables="1" htmlFormat="all"/>
  </connection>
  <connection id="68" xr16:uid="{00000000-0015-0000-FFFF-FFFF42000000}" name="194991.775.4087.464A.7719_636F756E74796761726167652E646D73657276696365732E636F2E756B,1,XML_WIN_WORKS_REPORT_TECHS_ANALYSIS,xml,01.03.2018,31.0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8,31.03.2018,1,,,,," htmlTables="1" htmlFormat="all"/>
  </connection>
  <connection id="69" xr16:uid="{00000000-0015-0000-FFFF-FFFF43000000}" name="194991.775.4087.464A.7719_636F756E74796761726167652E646D73657276696365732E636F2E756B,1,XML_WIN_WORKS_REPORT_TECHS_ANALYSIS,xml,01.03.2018,31.03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8,31.03.2018,1,,,,," htmlTables="1" htmlFormat="all"/>
  </connection>
  <connection id="70" xr16:uid="{00000000-0015-0000-FFFF-FFFF44000000}" name="194991.775.4087.464A.7719_636F756E74796761726167652E646D73657276696365732E636F2E756B,1,XML_WIN_WORKS_REPORT_TECHS_ANALYSIS,xml,01.03.2018,31.0310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8,31.03.2018,1,,,,," htmlTables="1" htmlFormat="all"/>
  </connection>
  <connection id="71" xr16:uid="{00000000-0015-0000-FFFF-FFFF45000000}" name="194991.775.4087.464A.7719_636F756E74796761726167652E646D73657276696365732E636F2E756B,1,XML_WIN_WORKS_REPORT_TECHS_ANALYSIS,xml,01.03.2018,31.03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8,31.03.2018,1,,,,," htmlTables="1" htmlFormat="all"/>
  </connection>
  <connection id="72" xr16:uid="{00000000-0015-0000-FFFF-FFFF46000000}" name="194991.775.4087.464A.7719_636F756E74796761726167652E646D73657276696365732E636F2E756B,1,XML_WIN_WORKS_REPORT_TECHS_ANALYSIS,xml,01.03.2018,31.03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8,31.03.2018,1,,,,," htmlTables="1" htmlFormat="all"/>
  </connection>
  <connection id="73" xr16:uid="{00000000-0015-0000-FFFF-FFFF47000000}" name="194991.775.4087.464A.7719_636F756E74796761726167652E646D73657276696365732E636F2E756B,1,XML_WIN_WORKS_REPORT_TECHS_ANALYSIS,xml,01.03.2018,31.03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8,31.03.2018,1,,,,," htmlTables="1" htmlFormat="all"/>
  </connection>
  <connection id="74" xr16:uid="{00000000-0015-0000-FFFF-FFFF48000000}" name="194991.775.4087.464A.7719_636F756E74796761726167652E646D73657276696365732E636F2E756B,1,XML_WIN_WORKS_REPORT_TECHS_ANALYSIS,xml,01.03.2018,31.03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8,31.03.2018,1,,,,," htmlTables="1" htmlFormat="all"/>
  </connection>
  <connection id="75" xr16:uid="{00000000-0015-0000-FFFF-FFFF49000000}" name="194991.775.4087.464A.7719_636F756E74796761726167652E646D73657276696365732E636F2E756B,1,XML_WIN_WORKS_REPORT_TECHS_ANALYSIS,xml,01.03.2018,31.03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8,31.03.2018,1,,,,," htmlTables="1" htmlFormat="all"/>
  </connection>
  <connection id="76" xr16:uid="{00000000-0015-0000-FFFF-FFFF4A000000}" name="194991.775.4087.464A.7719_636F756E74796761726167652E646D73657276696365732E636F2E756B,1,XML_WIN_WORKS_REPORT_TECHS_ANALYSIS,xml,01.03.2018,31.03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8,31.03.2018,1,,,,," htmlTables="1" htmlFormat="all"/>
  </connection>
  <connection id="77" xr16:uid="{00000000-0015-0000-FFFF-FFFF4B000000}" name="194991.775.4087.464A.7719_636F756E74796761726167652E646D73657276696365732E636F2E756B,1,XML_WIN_WORKS_REPORT_TECHS_ANALYSIS,xml,01.03.2018,31.038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8,31.03.2018,1,,,,," htmlTables="1" htmlFormat="all"/>
  </connection>
  <connection id="78" xr16:uid="{00000000-0015-0000-FFFF-FFFF4C000000}" name="194991.775.4087.464A.7719_636F756E74796761726167652E646D73657276696365732E636F2E756B,1,XML_WIN_WORKS_REPORT_TECHS_ANALYSIS,xml,01.03.2018,31.039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8,31.03.2018,1,,,,," htmlTables="1" htmlFormat="all"/>
  </connection>
  <connection id="79" xr16:uid="{00000000-0015-0000-FFFF-FFFF4D000000}" name="194991.775.4087.464A.7719_636F756E74796761726167652E646D73657276696365732E636F2E756B,1,XML_WIN_WORKS_REPORT_TECHS_ANALYSIS,xml,01.03.2019,04.0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9,04.03.2019,1,,,,," htmlTables="1" htmlFormat="all"/>
  </connection>
  <connection id="80" xr16:uid="{00000000-0015-0000-FFFF-FFFF4E000000}" name="194991.775.4087.464A.7719_636F756E74796761726167652E646D73657276696365732E636F2E756B,1,XML_WIN_WORKS_REPORT_TECHS_ANALYSIS,xml,01.03.2019,04.03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9,04.03.2019,1,,,,," htmlTables="1" htmlFormat="all"/>
  </connection>
  <connection id="81" xr16:uid="{00000000-0015-0000-FFFF-FFFF4F000000}" name="194991.775.4087.464A.7719_636F756E74796761726167652E646D73657276696365732E636F2E756B,1,XML_WIN_WORKS_REPORT_TECHS_ANALYSIS,xml,01.03.2019,12.0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9,12.03.2019,1,,,,," htmlTables="1" htmlFormat="all"/>
  </connection>
  <connection id="82" xr16:uid="{00000000-0015-0000-FFFF-FFFF50000000}" name="194991.775.4087.464A.7719_636F756E74796761726167652E646D73657276696365732E636F2E756B,1,XML_WIN_WORKS_REPORT_TECHS_ANALYSIS,xml,01.03.2019,31.0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9,31.0.2019,1,,,,," htmlTables="1" htmlFormat="all"/>
  </connection>
  <connection id="83" xr16:uid="{00000000-0015-0000-FFFF-FFFF51000000}" name="194991.775.4087.464A.7719_636F756E74796761726167652E646D73657276696365732E636F2E756B,1,XML_WIN_WORKS_REPORT_TECHS_ANALYSIS,xml,01.03.2019,31.0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9,31.03.2019,1,,,,," htmlTables="1" htmlFormat="all"/>
  </connection>
  <connection id="84" xr16:uid="{00000000-0015-0000-FFFF-FFFF52000000}" name="194991.775.4087.464A.7719_636F756E74796761726167652E646D73657276696365732E636F2E756B,1,XML_WIN_WORKS_REPORT_TECHS_ANALYSIS,xml,01.03.2019,31.03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9,31.03.2019,1,,,,," htmlTables="1" htmlFormat="all"/>
  </connection>
  <connection id="85" xr16:uid="{00000000-0015-0000-FFFF-FFFF53000000}" name="194991.775.4087.464A.7719_636F756E74796761726167652E646D73657276696365732E636F2E756B,1,XML_WIN_WORKS_REPORT_TECHS_ANALYSIS,xml,01.03.2019,31.03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9,31.03.2019,1,,,,," htmlTables="1" htmlFormat="all"/>
  </connection>
  <connection id="86" xr16:uid="{00000000-0015-0000-FFFF-FFFF54000000}" name="194991.775.4087.464A.7719_636F756E74796761726167652E646D73657276696365732E636F2E756B,1,XML_WIN_WORKS_REPORT_TECHS_ANALYSIS,xml,01.03.2019,31.03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9,31.03.2019,1,,,,," htmlTables="1" htmlFormat="all"/>
  </connection>
  <connection id="87" xr16:uid="{00000000-0015-0000-FFFF-FFFF55000000}" name="194991.775.4087.464A.7719_636F756E74796761726167652E646D73657276696365732E636F2E756B,1,XML_WIN_WORKS_REPORT_TECHS_ANALYSIS,xml,01.03.2019,31.03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9,31.03.2019,1,,,,," htmlTables="1" htmlFormat="all"/>
  </connection>
  <connection id="88" xr16:uid="{00000000-0015-0000-FFFF-FFFF56000000}" name="194991.775.4087.464A.7719_636F756E74796761726167652E646D73657276696365732E636F2E756B,1,XML_WIN_WORKS_REPORT_TECHS_ANALYSIS,xml,01.03.2019,31.03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9,31.03.2019,1,,,,," htmlTables="1" htmlFormat="all"/>
  </connection>
  <connection id="89" xr16:uid="{00000000-0015-0000-FFFF-FFFF57000000}" name="194991.775.4087.464A.7719_636F756E74796761726167652E646D73657276696365732E636F2E756B,1,XML_WIN_WORKS_REPORT_TECHS_ANALYSIS,xml,01.03.2019,31.03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9,31.03.2019,1,,,,," htmlTables="1" htmlFormat="all"/>
  </connection>
  <connection id="90" xr16:uid="{00000000-0015-0000-FFFF-FFFF58000000}" name="194991.775.4087.464A.7719_636F756E74796761726167652E646D73657276696365732E636F2E756B,1,XML_WIN_WORKS_REPORT_TECHS_ANALYSIS,xml,01.03.2019,31.03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9,31.03.2019,1,,,,," htmlTables="1" htmlFormat="all"/>
  </connection>
  <connection id="91" xr16:uid="{00000000-0015-0000-FFFF-FFFF59000000}" name="194991.775.4087.464A.7719_636F756E74796761726167652E646D73657276696365732E636F2E756B,1,XML_WIN_WORKS_REPORT_TECHS_ANALYSIS,xml,01.03.2019,31.038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3.2019,31.03.2019,1,,,,," htmlTables="1" htmlFormat="all"/>
  </connection>
  <connection id="92" xr16:uid="{00000000-0015-0000-FFFF-FFFF5A000000}" name="194991.775.4087.464A.7719_636F756E74796761726167652E646D73657276696365732E636F2E756B,1,XML_WIN_WORKS_REPORT_TECHS_ANALYSIS,xml,01.04.17,30.0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17,30.04.17,1,,,,," htmlTables="1" htmlFormat="all"/>
  </connection>
  <connection id="93" xr16:uid="{00000000-0015-0000-FFFF-FFFF5B000000}" name="194991.775.4087.464A.7719_636F756E74796761726167652E646D73657276696365732E636F2E756B,1,XML_WIN_WORKS_REPORT_TECHS_ANALYSIS,xml,01.04.17,30.04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17,30.04.17,1,,,,," htmlTables="1" htmlFormat="all"/>
  </connection>
  <connection id="94" xr16:uid="{00000000-0015-0000-FFFF-FFFF5C000000}" name="194991.775.4087.464A.7719_636F756E74796761726167652E646D73657276696365732E636F2E756B,1,XML_WIN_WORKS_REPORT_TECHS_ANALYSIS,xml,01.04.17,30.04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17,30.04.17,1,,,,," htmlTables="1" htmlFormat="all"/>
  </connection>
  <connection id="95" xr16:uid="{00000000-0015-0000-FFFF-FFFF5D000000}" name="194991.775.4087.464A.7719_636F756E74796761726167652E646D73657276696365732E636F2E756B,1,XML_WIN_WORKS_REPORT_TECHS_ANALYSIS,xml,01.04.17,30.04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17,30.04.17,1,,,,," htmlTables="1" htmlFormat="all"/>
  </connection>
  <connection id="96" xr16:uid="{00000000-0015-0000-FFFF-FFFF5E000000}" name="194991.775.4087.464A.7719_636F756E74796761726167652E646D73657276696365732E636F2E756B,1,XML_WIN_WORKS_REPORT_TECHS_ANALYSIS,xml,01.04.17,30.04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17,30.04.17,1,,,,," htmlTables="1" htmlFormat="all"/>
  </connection>
  <connection id="97" xr16:uid="{00000000-0015-0000-FFFF-FFFF5F000000}" name="194991.775.4087.464A.7719_636F756E74796761726167652E646D73657276696365732E636F2E756B,1,XML_WIN_WORKS_REPORT_TECHS_ANALYSIS,xml,01.04.17,30.04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17,30.04.17,1,,,,," htmlTables="1" htmlFormat="all"/>
  </connection>
  <connection id="98" xr16:uid="{00000000-0015-0000-FFFF-FFFF60000000}" name="194991.775.4087.464A.7719_636F756E74796761726167652E646D73657276696365732E636F2E756B,1,XML_WIN_WORKS_REPORT_TECHS_ANALYSIS,xml,01.04.17,30.04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17,30.04.17,1,,,,," htmlTables="1" htmlFormat="all"/>
  </connection>
  <connection id="99" xr16:uid="{00000000-0015-0000-FFFF-FFFF61000000}" name="194991.775.4087.464A.7719_636F756E74796761726167652E646D73657276696365732E636F2E756B,1,XML_WIN_WORKS_REPORT_TECHS_ANALYSIS,xml,01.04.17,31.0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17,31.03.18,1,,,,," htmlTables="1" htmlFormat="all"/>
  </connection>
  <connection id="100" xr16:uid="{00000000-0015-0000-FFFF-FFFF62000000}" name="194991.775.4087.464A.7719_636F756E74796761726167652E646D73657276696365732E636F2E756B,1,XML_WIN_WORKS_REPORT_TECHS_ANALYSIS,xml,01.04.2018,12.0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2018,12.04.18,1,,,,," htmlTables="1" htmlFormat="all"/>
  </connection>
  <connection id="101" xr16:uid="{00000000-0015-0000-FFFF-FFFF63000000}" name="194991.775.4087.464A.7719_636F756E74796761726167652E646D73657276696365732E636F2E756B,1,XML_WIN_WORKS_REPORT_TECHS_ANALYSIS,xml,01.04.2018,19.0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2018,19.04.18,1,,,,," htmlTables="1" htmlFormat="all"/>
  </connection>
  <connection id="102" xr16:uid="{00000000-0015-0000-FFFF-FFFF64000000}" name="194991.775.4087.464A.7719_636F756E74796761726167652E646D73657276696365732E636F2E756B,1,XML_WIN_WORKS_REPORT_TECHS_ANALYSIS,xml,01.04.2018,30.0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2018,30.04.2018,1,,,,," htmlTables="1" htmlFormat="all"/>
  </connection>
  <connection id="103" xr16:uid="{00000000-0015-0000-FFFF-FFFF65000000}" name="194991.775.4087.464A.7719_636F756E74796761726167652E646D73657276696365732E636F2E756B,1,XML_WIN_WORKS_REPORT_TECHS_ANALYSIS,xml,01.04.2018,30.04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2018,30.04.2018,1,,,,," htmlTables="1" htmlFormat="all"/>
  </connection>
  <connection id="104" xr16:uid="{00000000-0015-0000-FFFF-FFFF66000000}" name="194991.775.4087.464A.7719_636F756E74796761726167652E646D73657276696365732E636F2E756B,1,XML_WIN_WORKS_REPORT_TECHS_ANALYSIS,xml,01.04.2018,30.04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2018,30.04.2018,1,,,,," htmlTables="1" htmlFormat="all"/>
  </connection>
  <connection id="105" xr16:uid="{00000000-0015-0000-FFFF-FFFF67000000}" name="194991.775.4087.464A.7719_636F756E74796761726167652E646D73657276696365732E636F2E756B,1,XML_WIN_WORKS_REPORT_TECHS_ANALYSIS,xml,01.04.2018,30.04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2018,30.04.2018,1,,,,," htmlTables="1" htmlFormat="all"/>
  </connection>
  <connection id="106" xr16:uid="{00000000-0015-0000-FFFF-FFFF68000000}" name="194991.775.4087.464A.7719_636F756E74796761726167652E646D73657276696365732E636F2E756B,1,XML_WIN_WORKS_REPORT_TECHS_ANALYSIS,xml,01.04.2019,30.0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2019,30.04.2019,1,,,,," htmlTables="1" htmlFormat="all"/>
  </connection>
  <connection id="107" xr16:uid="{00000000-0015-0000-FFFF-FFFF69000000}" name="194991.775.4087.464A.7719_636F756E74796761726167652E646D73657276696365732E636F2E756B,1,XML_WIN_WORKS_REPORT_TECHS_ANALYSIS,xml,01.04.2019,30.04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2019,30.04.2019,1,,,,," htmlTables="1" htmlFormat="all"/>
  </connection>
  <connection id="108" xr16:uid="{00000000-0015-0000-FFFF-FFFF6A000000}" name="194991.775.4087.464A.7719_636F756E74796761726167652E646D73657276696365732E636F2E756B,1,XML_WIN_WORKS_REPORT_TECHS_ANALYSIS,xml,01.04.2019,30.04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2019,30.04.2019,1,,,,," htmlTables="1" htmlFormat="all"/>
  </connection>
  <connection id="109" xr16:uid="{00000000-0015-0000-FFFF-FFFF6B000000}" name="194991.775.4087.464A.7719_636F756E74796761726167652E646D73657276696365732E636F2E756B,1,XML_WIN_WORKS_REPORT_TECHS_ANALYSIS,xml,01.04.2019,30.04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4.2019,30.04.2019,1,,,,," htmlTables="1" htmlFormat="all"/>
  </connection>
  <connection id="110" xr16:uid="{00000000-0015-0000-FFFF-FFFF6C000000}" name="194991.775.4087.464A.7719_636F756E74796761726167652E646D73657276696365732E636F2E756B,1,XML_WIN_WORKS_REPORT_TECHS_ANALYSIS,xml,01.05.17,31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17,31.05.17,1,,,,," htmlTables="1" htmlFormat="all"/>
  </connection>
  <connection id="111" xr16:uid="{00000000-0015-0000-FFFF-FFFF6D000000}" name="194991.775.4087.464A.7719_636F756E74796761726167652E646D73657276696365732E636F2E756B,1,XML_WIN_WORKS_REPORT_TECHS_ANALYSIS,xml,01.05.17,31.05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17,31.05.17,1,,,,," htmlTables="1" htmlFormat="all"/>
  </connection>
  <connection id="112" xr16:uid="{00000000-0015-0000-FFFF-FFFF6E000000}" name="194991.775.4087.464A.7719_636F756E74796761726167652E646D73657276696365732E636F2E756B,1,XML_WIN_WORKS_REPORT_TECHS_ANALYSIS,xml,01.05.17,31.05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17,31.05.17,1,,,,," htmlTables="1" htmlFormat="all"/>
  </connection>
  <connection id="113" xr16:uid="{00000000-0015-0000-FFFF-FFFF6F000000}" name="194991.775.4087.464A.7719_636F756E74796761726167652E646D73657276696365732E636F2E756B,1,XML_WIN_WORKS_REPORT_TECHS_ANALYSIS,xml,01.05.17,31.05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17,31.05.17,1,,,,," htmlTables="1" htmlFormat="all"/>
  </connection>
  <connection id="114" xr16:uid="{00000000-0015-0000-FFFF-FFFF70000000}" name="194991.775.4087.464A.7719_636F756E74796761726167652E646D73657276696365732E636F2E756B,1,XML_WIN_WORKS_REPORT_TECHS_ANALYSIS,xml,01.05.18,31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18,31.05.18,1,,,,," htmlTables="1" htmlFormat="all"/>
  </connection>
  <connection id="115" xr16:uid="{00000000-0015-0000-FFFF-FFFF71000000}" name="194991.775.4087.464A.7719_636F756E74796761726167652E646D73657276696365732E636F2E756B,1,XML_WIN_WORKS_REPORT_TECHS_ANALYSIS,xml,01.05.2018,21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8,21.05.2018,1,,,,," htmlTables="1" htmlFormat="all"/>
  </connection>
  <connection id="116" xr16:uid="{00000000-0015-0000-FFFF-FFFF72000000}" name="194991.775.4087.464A.7719_636F756E74796761726167652E646D73657276696365732E636F2E756B,1,XML_WIN_WORKS_REPORT_TECHS_ANALYSIS,xml,01.05.2018,31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8,31.05.18,1,,,,," htmlTables="1" htmlFormat="all"/>
  </connection>
  <connection id="117" xr16:uid="{00000000-0015-0000-FFFF-FFFF73000000}" name="194991.775.4087.464A.7719_636F756E74796761726167652E646D73657276696365732E636F2E756B,1,XML_WIN_WORKS_REPORT_TECHS_ANALYSIS,xml,01.05.2018,31.05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8,31.05.2018,1,,,,," htmlTables="1" htmlFormat="all"/>
  </connection>
  <connection id="118" xr16:uid="{00000000-0015-0000-FFFF-FFFF74000000}" name="194991.775.4087.464A.7719_636F756E74796761726167652E646D73657276696365732E636F2E756B,1,XML_WIN_WORKS_REPORT_TECHS_ANALYSIS,xml,01.05.2018,31.0510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8,31.05.2018,1,,,,," htmlTables="1" htmlFormat="all"/>
  </connection>
  <connection id="119" xr16:uid="{00000000-0015-0000-FFFF-FFFF75000000}" name="194991.775.4087.464A.7719_636F756E74796761726167652E646D73657276696365732E636F2E756B,1,XML_WIN_WORKS_REPORT_TECHS_ANALYSIS,xml,01.05.2018,31.05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8,31.05.2018,1,,,,," htmlTables="1" htmlFormat="all"/>
  </connection>
  <connection id="120" xr16:uid="{00000000-0015-0000-FFFF-FFFF76000000}" name="194991.775.4087.464A.7719_636F756E74796761726167652E646D73657276696365732E636F2E756B,1,XML_WIN_WORKS_REPORT_TECHS_ANALYSIS,xml,01.05.2018,31.05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8,31.05.2018,1,,,,," htmlTables="1" htmlFormat="all"/>
  </connection>
  <connection id="121" xr16:uid="{00000000-0015-0000-FFFF-FFFF77000000}" name="194991.775.4087.464A.7719_636F756E74796761726167652E646D73657276696365732E636F2E756B,1,XML_WIN_WORKS_REPORT_TECHS_ANALYSIS,xml,01.05.2018,31.05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8,31.05.2018,1,,,,," htmlTables="1" htmlFormat="all"/>
  </connection>
  <connection id="122" xr16:uid="{00000000-0015-0000-FFFF-FFFF78000000}" name="194991.775.4087.464A.7719_636F756E74796761726167652E646D73657276696365732E636F2E756B,1,XML_WIN_WORKS_REPORT_TECHS_ANALYSIS,xml,01.05.2018,31.05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8,31.05.2018,1,,,,," htmlTables="1" htmlFormat="all"/>
  </connection>
  <connection id="123" xr16:uid="{00000000-0015-0000-FFFF-FFFF79000000}" name="194991.775.4087.464A.7719_636F756E74796761726167652E646D73657276696365732E636F2E756B,1,XML_WIN_WORKS_REPORT_TECHS_ANALYSIS,xml,01.05.2018,31.05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8,31.05.2018,1,,,,," htmlTables="1" htmlFormat="all"/>
  </connection>
  <connection id="124" xr16:uid="{00000000-0015-0000-FFFF-FFFF7A000000}" name="194991.775.4087.464A.7719_636F756E74796761726167652E646D73657276696365732E636F2E756B,1,XML_WIN_WORKS_REPORT_TECHS_ANALYSIS,xml,01.05.2018,31.05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8,31.05.2018,1,,,,," htmlTables="1" htmlFormat="all"/>
  </connection>
  <connection id="125" xr16:uid="{00000000-0015-0000-FFFF-FFFF7B000000}" name="194991.775.4087.464A.7719_636F756E74796761726167652E646D73657276696365732E636F2E756B,1,XML_WIN_WORKS_REPORT_TECHS_ANALYSIS,xml,01.05.2018,31.058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8,31.05.2018,1,,,,," htmlTables="1" htmlFormat="all"/>
  </connection>
  <connection id="126" xr16:uid="{00000000-0015-0000-FFFF-FFFF7C000000}" name="194991.775.4087.464A.7719_636F756E74796761726167652E646D73657276696365732E636F2E756B,1,XML_WIN_WORKS_REPORT_TECHS_ANALYSIS,xml,01.05.2018,31.059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8,31.05.2018,1,,,,," htmlTables="1" htmlFormat="all"/>
  </connection>
  <connection id="127" xr16:uid="{88F1D952-1D28-48F2-9C06-C5104A6653F6}" name="194991.775.4087.464A.7719_636F756E74796761726167652E646D73657276696365732E636F2E756B,1,XML_WIN_WORKS_REPORT_TECHS_ANALYSIS,xml,01.05.2019,16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16.05.2019,1,,,,," htmlTables="1" htmlFormat="all"/>
  </connection>
  <connection id="128" xr16:uid="{67DB883F-8677-44B3-A2CD-9521D9049482}" name="194991.775.4087.464A.7719_636F756E74796761726167652E646D73657276696365732E636F2E756B,1,XML_WIN_WORKS_REPORT_TECHS_ANALYSIS,xml,01.05.2019,18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18.05.2019,1,,,,," htmlTables="1" htmlFormat="all"/>
  </connection>
  <connection id="129" xr16:uid="{4F5A2043-A024-4F3C-BB58-0BF1E9072B8A}" name="194991.775.4087.464A.7719_636F756E74796761726167652E646D73657276696365732E636F2E756B,1,XML_WIN_WORKS_REPORT_TECHS_ANALYSIS,xml,01.05.2019,21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21.05.2019,1,,,,," htmlTables="1" htmlFormat="all"/>
  </connection>
  <connection id="130" xr16:uid="{6517D492-3CB8-4A80-A0C0-7BB95C88A5B8}" name="194991.775.4087.464A.7719_636F756E74796761726167652E646D73657276696365732E636F2E756B,1,XML_WIN_WORKS_REPORT_TECHS_ANALYSIS,xml,01.05.2019,21.05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21.05.2019,1,,,,," htmlTables="1" htmlFormat="all"/>
  </connection>
  <connection id="131" xr16:uid="{7A4CDD02-91C2-4E1B-9A9E-4F37DE9B7231}" name="194991.775.4087.464A.7719_636F756E74796761726167652E646D73657276696365732E636F2E756B,1,XML_WIN_WORKS_REPORT_TECHS_ANALYSIS,xml,01.05.2019,22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22.05.2019,1,,,,," htmlTables="1" htmlFormat="all"/>
  </connection>
  <connection id="132" xr16:uid="{3379ADD0-130B-4E3A-A438-0D168A81B4F3}" name="194991.775.4087.464A.7719_636F756E74796761726167652E646D73657276696365732E636F2E756B,1,XML_WIN_WORKS_REPORT_TECHS_ANALYSIS,xml,01.05.2019,22.05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22.05.2019,1,,,,," htmlTables="1" htmlFormat="all"/>
  </connection>
  <connection id="133" xr16:uid="{6C8C2D1B-B5A9-4043-8707-956CEA5A22AF}" name="194991.775.4087.464A.7719_636F756E74796761726167652E646D73657276696365732E636F2E756B,1,XML_WIN_WORKS_REPORT_TECHS_ANALYSIS,xml,01.05.2019,22.05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22.05.2019,1,,,,," htmlTables="1" htmlFormat="all"/>
  </connection>
  <connection id="134" xr16:uid="{43117D42-5718-4831-93B6-7E7A821673F1}" name="194991.775.4087.464A.7719_636F756E74796761726167652E646D73657276696365732E636F2E756B,1,XML_WIN_WORKS_REPORT_TECHS_ANALYSIS,xml,01.05.2019,23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23.05.2019,1,,,,," htmlTables="1" htmlFormat="all"/>
  </connection>
  <connection id="135" xr16:uid="{F7500DDB-9580-4590-A336-B3AB42662150}" name="194991.775.4087.464A.7719_636F756E74796761726167652E646D73657276696365732E636F2E756B,1,XML_WIN_WORKS_REPORT_TECHS_ANALYSIS,xml,01.05.2019,24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24.05.2019,1,,,,," htmlTables="1" htmlFormat="all"/>
  </connection>
  <connection id="136" xr16:uid="{C16E632F-FC32-4C37-BBC8-0E70B8FFAB83}" name="194991.775.4087.464A.7719_636F756E74796761726167652E646D73657276696365732E636F2E756B,1,XML_WIN_WORKS_REPORT_TECHS_ANALYSIS,xml,01.05.2019,29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29.05.2019,1,,,,," htmlTables="1" htmlFormat="all"/>
  </connection>
  <connection id="137" xr16:uid="{2B2BEDB9-C177-4F1F-8FF8-2582F80C8D5F}" name="194991.775.4087.464A.7719_636F756E74796761726167652E646D73657276696365732E636F2E756B,1,XML_WIN_WORKS_REPORT_TECHS_ANALYSIS,xml,01.05.2019,29.05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29.05.2019,1,,,,," htmlTables="1" htmlFormat="all"/>
  </connection>
  <connection id="138" xr16:uid="{00F53B4E-D79F-4E71-9313-C31F720F72F4}" name="194991.775.4087.464A.7719_636F756E74796761726167652E646D73657276696365732E636F2E756B,1,XML_WIN_WORKS_REPORT_TECHS_ANALYSIS,xml,01.05.2019,29.05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29.05.2019,1,,,,," htmlTables="1" htmlFormat="all"/>
  </connection>
  <connection id="139" xr16:uid="{8F1AA0DA-B0E6-449B-AF7C-310DCD16A5A3}" name="194991.775.4087.464A.7719_636F756E74796761726167652E646D73657276696365732E636F2E756B,1,XML_WIN_WORKS_REPORT_TECHS_ANALYSIS,xml,01.05.2019,29.05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29.05.2019,1,,,,," htmlTables="1" htmlFormat="all"/>
  </connection>
  <connection id="140" xr16:uid="{6F295919-C700-49FE-AD0B-BF844D7D1051}" name="194991.775.4087.464A.7719_636F756E74796761726167652E646D73657276696365732E636F2E756B,1,XML_WIN_WORKS_REPORT_TECHS_ANALYSIS,xml,01.05.2019,30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30.05.2019,1,,,,," htmlTables="1" htmlFormat="all"/>
  </connection>
  <connection id="141" xr16:uid="{00000000-0015-0000-FFFF-FFFF7D000000}" name="194991.775.4087.464A.7719_636F756E74796761726167652E646D73657276696365732E636F2E756B,1,XML_WIN_WORKS_REPORT_TECHS_ANALYSIS,xml,01.05.2019,31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31.05.2019,1,,,,," htmlTables="1" htmlFormat="all"/>
  </connection>
  <connection id="142" xr16:uid="{00000000-0015-0000-FFFF-FFFF7E000000}" name="194991.775.4087.464A.7719_636F756E74796761726167652E646D73657276696365732E636F2E756B,1,XML_WIN_WORKS_REPORT_TECHS_ANALYSIS,xml,01.05.2019,31.05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31.05.2019,1,,,,," htmlTables="1" htmlFormat="all"/>
  </connection>
  <connection id="143" xr16:uid="{96CA1F1B-D256-4394-8F54-79C7BF64E4C4}" name="194991.775.4087.464A.7719_636F756E74796761726167652E646D73657276696365732E636F2E756B,1,XML_WIN_WORKS_REPORT_TECHS_ANALYSIS,xml,01.05.2019,31.0510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31.05.2019,1,,,,," htmlTables="1" htmlFormat="all"/>
  </connection>
  <connection id="144" xr16:uid="{58E0FA9C-CEC7-4DED-AC09-07AE754782AD}" name="194991.775.4087.464A.7719_636F756E74796761726167652E646D73657276696365732E636F2E756B,1,XML_WIN_WORKS_REPORT_TECHS_ANALYSIS,xml,01.05.2019,31.051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31.05.2019,1,,,,," htmlTables="1" htmlFormat="all"/>
  </connection>
  <connection id="145" xr16:uid="{F12F526D-F5BB-4AF7-A1A4-D925D5E92D4D}" name="194991.775.4087.464A.7719_636F756E74796761726167652E646D73657276696365732E636F2E756B,1,XML_WIN_WORKS_REPORT_TECHS_ANALYSIS,xml,01.05.2019,31.05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31.05.2019,1,,,,," htmlTables="1" htmlFormat="all"/>
  </connection>
  <connection id="146" xr16:uid="{D59C1585-106C-481C-85AE-869651094929}" name="194991.775.4087.464A.7719_636F756E74796761726167652E646D73657276696365732E636F2E756B,1,XML_WIN_WORKS_REPORT_TECHS_ANALYSIS,xml,01.05.2019,31.05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31.05.2019,1,,,,," htmlTables="1" htmlFormat="all"/>
  </connection>
  <connection id="147" xr16:uid="{BAD74FEA-C772-498B-AAB7-6C8FBBBDF388}" name="194991.775.4087.464A.7719_636F756E74796761726167652E646D73657276696365732E636F2E756B,1,XML_WIN_WORKS_REPORT_TECHS_ANALYSIS,xml,01.05.2019,31.05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31.05.2019,1,,,,," htmlTables="1" htmlFormat="all"/>
  </connection>
  <connection id="148" xr16:uid="{2B3A7040-A6B3-4501-8A0E-CF16E39D5948}" name="194991.775.4087.464A.7719_636F756E74796761726167652E646D73657276696365732E636F2E756B,1,XML_WIN_WORKS_REPORT_TECHS_ANALYSIS,xml,01.05.2019,31.05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31.05.2019,1,,,,," htmlTables="1" htmlFormat="all"/>
  </connection>
  <connection id="149" xr16:uid="{BEB59C0A-A5C4-49DA-88E8-258914369955}" name="194991.775.4087.464A.7719_636F756E74796761726167652E646D73657276696365732E636F2E756B,1,XML_WIN_WORKS_REPORT_TECHS_ANALYSIS,xml,01.05.2019,31.05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31.05.2019,1,,,,," htmlTables="1" htmlFormat="all"/>
  </connection>
  <connection id="150" xr16:uid="{E7758079-8FE6-45F2-8833-E9C2D779EA03}" name="194991.775.4087.464A.7719_636F756E74796761726167652E646D73657276696365732E636F2E756B,1,XML_WIN_WORKS_REPORT_TECHS_ANALYSIS,xml,01.05.2019,31.05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31.05.2019,1,,,,," htmlTables="1" htmlFormat="all"/>
  </connection>
  <connection id="151" xr16:uid="{4A4D1731-003C-4897-A7CA-F59BD0E12D62}" name="194991.775.4087.464A.7719_636F756E74796761726167652E646D73657276696365732E636F2E756B,1,XML_WIN_WORKS_REPORT_TECHS_ANALYSIS,xml,01.05.2019,31.058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31.05.2019,1,,,,," htmlTables="1" htmlFormat="all"/>
  </connection>
  <connection id="152" xr16:uid="{9B4D5135-E139-48D9-83BA-553506A86EA6}" name="194991.775.4087.464A.7719_636F756E74796761726167652E646D73657276696365732E636F2E756B,1,XML_WIN_WORKS_REPORT_TECHS_ANALYSIS,xml,01.05.2019,31.059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5.2019,31.05.2019,1,,,,," htmlTables="1" htmlFormat="all"/>
  </connection>
  <connection id="153" xr16:uid="{0FFA686D-124D-41C3-A94F-8A270279FAC1}" name="194991.775.4087.464A.7719_636F756E74796761726167652E646D73657276696365732E636F2E756B,1,XML_WIN_WORKS_REPORT_TECHS_ANALYSIS,xml,01.06.2018,18.0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8,18.06.18,1,,,,," htmlTables="1" htmlFormat="all"/>
  </connection>
  <connection id="154" xr16:uid="{3B04F461-0321-4D86-B1CD-FF521BA7903D}" name="194991.775.4087.464A.7719_636F756E74796761726167652E646D73657276696365732E636F2E756B,1,XML_WIN_WORKS_REPORT_TECHS_ANALYSIS,xml,01.06.2018,18.06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8,18.06.18,1,,,,," htmlTables="1" htmlFormat="all"/>
  </connection>
  <connection id="155" xr16:uid="{5B74A577-F5A8-4F2F-A7FD-F16F42CD0621}" name="194991.775.4087.464A.7719_636F756E74796761726167652E646D73657276696365732E636F2E756B,1,XML_WIN_WORKS_REPORT_TECHS_ANALYSIS,xml,01.06.2018,18.06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8,18.06.18,1,,,,," htmlTables="1" htmlFormat="all"/>
  </connection>
  <connection id="156" xr16:uid="{00000000-0015-0000-FFFF-FFFF7F000000}" name="194991.775.4087.464A.7719_636F756E74796761726167652E646D73657276696365732E636F2E756B,1,XML_WIN_WORKS_REPORT_TECHS_ANALYSIS,xml,01.06.2018,30.0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8,30.06.2018,1,,,,," htmlTables="1" htmlFormat="all"/>
  </connection>
  <connection id="157" xr16:uid="{00000000-0015-0000-FFFF-FFFF80000000}" name="194991.775.4087.464A.7719_636F756E74796761726167652E646D73657276696365732E636F2E756B,1,XML_WIN_WORKS_REPORT_TECHS_ANALYSIS,xml,01.06.2018,30.06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8,30.06.2018,1,,,,," htmlTables="1" htmlFormat="all"/>
  </connection>
  <connection id="158" xr16:uid="{00000000-0015-0000-FFFF-FFFF81000000}" name="194991.775.4087.464A.7719_636F756E74796761726167652E646D73657276696365732E636F2E756B,1,XML_WIN_WORKS_REPORT_TECHS_ANALYSIS,xml,01.06.2018,30.06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8,30.06.2018,1,,,,," htmlTables="1" htmlFormat="all"/>
  </connection>
  <connection id="159" xr16:uid="{E5669488-12E6-4CB2-9421-8E78E8DE5CC7}" name="194991.775.4087.464A.7719_636F756E74796761726167652E646D73657276696365732E636F2E756B,1,XML_WIN_WORKS_REPORT_TECHS_ANALYSIS,xml,01.06.2019,12.0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12.06.2019,1,,,,," htmlTables="1" htmlFormat="all"/>
  </connection>
  <connection id="160" xr16:uid="{EBC76685-6095-45C1-8E25-969E204A67E9}" name="194991.775.4087.464A.7719_636F756E74796761726167652E646D73657276696365732E636F2E756B,1,XML_WIN_WORKS_REPORT_TECHS_ANALYSIS,xml,01.06.2019,18.0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18.06.19,1,,,,," htmlTables="1" htmlFormat="all"/>
  </connection>
  <connection id="161" xr16:uid="{62FE3B1D-EC8C-4AD7-8999-06C5FF2B2DB2}" name="194991.775.4087.464A.7719_636F756E74796761726167652E646D73657276696365732E636F2E756B,1,XML_WIN_WORKS_REPORT_TECHS_ANALYSIS,xml,01.06.2019,18.06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18.06.19,1,,,,," htmlTables="1" htmlFormat="all"/>
  </connection>
  <connection id="162" xr16:uid="{F2A08F13-1964-4A54-8FF3-5C0F67F1E9E1}" name="194991.775.4087.464A.7719_636F756E74796761726167652E646D73657276696365732E636F2E756B,1,XML_WIN_WORKS_REPORT_TECHS_ANALYSIS,xml,01.06.2019,18.06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18.06.19,1,,,,," htmlTables="1" htmlFormat="all"/>
  </connection>
  <connection id="163" xr16:uid="{D8213560-FA05-4983-9F0F-A6C5B3044867}" name="194991.775.4087.464A.7719_636F756E74796761726167652E646D73657276696365732E636F2E756B,1,XML_WIN_WORKS_REPORT_TECHS_ANALYSIS,xml,01.06.2019,18.06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18.06.19,1,,,,," htmlTables="1" htmlFormat="all"/>
  </connection>
  <connection id="164" xr16:uid="{01C4866C-43F6-4325-B7DE-848A1292CB58}" name="194991.775.4087.464A.7719_636F756E74796761726167652E646D73657276696365732E636F2E756B,1,XML_WIN_WORKS_REPORT_TECHS_ANALYSIS,xml,01.06.2019,19.0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19.06.2019,1,,,,," htmlTables="1" htmlFormat="all"/>
  </connection>
  <connection id="165" xr16:uid="{9F925C25-2C8D-4138-A1E7-14EA016C7C39}" name="194991.775.4087.464A.7719_636F756E74796761726167652E646D73657276696365732E636F2E756B,1,XML_WIN_WORKS_REPORT_TECHS_ANALYSIS,xml,01.06.2019,30.0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30.06.2019,1,,,,," htmlTables="1" htmlFormat="all"/>
  </connection>
  <connection id="166" xr16:uid="{28B911AD-DCAE-4407-81DA-9A53CF270305}" name="194991.775.4087.464A.7719_636F756E74796761726167652E646D73657276696365732E636F2E756B,1,XML_WIN_WORKS_REPORT_TECHS_ANALYSIS,xml,01.06.2019,30.06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30.06.2019,1,,,,," htmlTables="1" htmlFormat="all"/>
  </connection>
  <connection id="167" xr16:uid="{930DB486-1A68-4C7C-92A2-B88FDBDAA89B}" name="194991.775.4087.464A.7719_636F756E74796761726167652E646D73657276696365732E636F2E756B,1,XML_WIN_WORKS_REPORT_TECHS_ANALYSIS,xml,01.06.2019,30.0610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30.06.2019,1,,,,," htmlTables="1" htmlFormat="all"/>
  </connection>
  <connection id="168" xr16:uid="{1B18A0F0-B0D6-4422-BEE2-39E09F5A55D1}" name="194991.775.4087.464A.7719_636F756E74796761726167652E646D73657276696365732E636F2E756B,1,XML_WIN_WORKS_REPORT_TECHS_ANALYSIS,xml,01.06.2019,30.06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30.06.2019,1,,,,," htmlTables="1" htmlFormat="all"/>
  </connection>
  <connection id="169" xr16:uid="{7FE1492E-6199-44C7-8D26-6993F5F38609}" name="194991.775.4087.464A.7719_636F756E74796761726167652E646D73657276696365732E636F2E756B,1,XML_WIN_WORKS_REPORT_TECHS_ANALYSIS,xml,01.06.2019,30.06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30.06.2019,1,,,,," htmlTables="1" htmlFormat="all"/>
  </connection>
  <connection id="170" xr16:uid="{4DAAF50D-DC82-443E-BC22-0E7F7E13780A}" name="194991.775.4087.464A.7719_636F756E74796761726167652E646D73657276696365732E636F2E756B,1,XML_WIN_WORKS_REPORT_TECHS_ANALYSIS,xml,01.06.2019,30.06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30.06.2019,1,,,,," htmlTables="1" htmlFormat="all"/>
  </connection>
  <connection id="171" xr16:uid="{239E4FAD-AD24-4186-8407-EB523416B8A9}" name="194991.775.4087.464A.7719_636F756E74796761726167652E646D73657276696365732E636F2E756B,1,XML_WIN_WORKS_REPORT_TECHS_ANALYSIS,xml,01.06.2019,30.06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30.06.2019,1,,,,," htmlTables="1" htmlFormat="all"/>
  </connection>
  <connection id="172" xr16:uid="{95A3F673-CE8B-4669-9D06-8ECFAA41E496}" name="194991.775.4087.464A.7719_636F756E74796761726167652E646D73657276696365732E636F2E756B,1,XML_WIN_WORKS_REPORT_TECHS_ANALYSIS,xml,01.06.2019,30.06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30.06.2019,1,,,,," htmlTables="1" htmlFormat="all"/>
  </connection>
  <connection id="173" xr16:uid="{8292B2ED-02AE-4F85-ACC5-D3112CEA662F}" name="194991.775.4087.464A.7719_636F756E74796761726167652E646D73657276696365732E636F2E756B,1,XML_WIN_WORKS_REPORT_TECHS_ANALYSIS,xml,01.06.2019,30.06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30.06.2019,1,,,,," htmlTables="1" htmlFormat="all"/>
  </connection>
  <connection id="174" xr16:uid="{82FD15A2-982B-4B14-9E60-4DF39436417B}" name="194991.775.4087.464A.7719_636F756E74796761726167652E646D73657276696365732E636F2E756B,1,XML_WIN_WORKS_REPORT_TECHS_ANALYSIS,xml,01.06.2019,30.068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30.06.2019,1,,,,," htmlTables="1" htmlFormat="all"/>
  </connection>
  <connection id="175" xr16:uid="{37A7FC63-1F69-46F4-B0FF-B1AD1F6D62D0}" name="194991.775.4087.464A.7719_636F756E74796761726167652E646D73657276696365732E636F2E756B,1,XML_WIN_WORKS_REPORT_TECHS_ANALYSIS,xml,01.06.2019,30.069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6.2019,30.06.2019,1,,,,," htmlTables="1" htmlFormat="all"/>
  </connection>
  <connection id="176" xr16:uid="{00000000-0015-0000-FFFF-FFFF82000000}" name="194991.775.4087.464A.7719_636F756E74796761726167652E646D73657276696365732E636F2E756B,1,XML_WIN_WORKS_REPORT_TECHS_ANALYSIS,xml,01.07.2018,31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8,31.07.2018,1,,,,," htmlTables="1" htmlFormat="all"/>
  </connection>
  <connection id="177" xr16:uid="{00000000-0015-0000-FFFF-FFFF83000000}" name="194991.775.4087.464A.7719_636F756E74796761726167652E646D73657276696365732E636F2E756B,1,XML_WIN_WORKS_REPORT_TECHS_ANALYSIS,xml,01.07.2018,31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8,31.07.2018,1,,,,," htmlTables="1" htmlFormat="all"/>
  </connection>
  <connection id="178" xr16:uid="{EDE5E21E-9929-4017-9C5B-DD9C80B2BB42}" name="194991.775.4087.464A.7719_636F756E74796761726167652E646D73657276696365732E636F2E756B,1,XML_WIN_WORKS_REPORT_TECHS_ANALYSIS,xml,01.07.2019,01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01.07.2019,1,,,,," htmlTables="1" htmlFormat="all"/>
  </connection>
  <connection id="179" xr16:uid="{B57EAA3A-6B84-4057-B4AB-9E9B23EB469D}" name="194991.775.4087.464A.7719_636F756E74796761726167652E646D73657276696365732E636F2E756B,1,XML_WIN_WORKS_REPORT_TECHS_ANALYSIS,xml,01.07.2019,06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06.07.2019,1,,,,," htmlTables="1" htmlFormat="all"/>
  </connection>
  <connection id="180" xr16:uid="{7D8D7D01-7552-4979-8567-D3DC8AE5C435}" name="194991.775.4087.464A.7719_636F756E74796761726167652E646D73657276696365732E636F2E756B,1,XML_WIN_WORKS_REPORT_TECHS_ANALYSIS,xml,01.07.2019,06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06.07.2019,1,,,,," htmlTables="1" htmlFormat="all"/>
  </connection>
  <connection id="181" xr16:uid="{25C99411-97D2-4798-A3CB-73FD249B7FFE}" name="194991.775.4087.464A.7719_636F756E74796761726167652E646D73657276696365732E636F2E756B,1,XML_WIN_WORKS_REPORT_TECHS_ANALYSIS,xml,01.07.2019,09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09.07.2019,1,,,,," htmlTables="1" htmlFormat="all"/>
  </connection>
  <connection id="182" xr16:uid="{C0A8C6D8-34EA-41BE-B36A-42915A9A797D}" name="194991.775.4087.464A.7719_636F756E74796761726167652E646D73657276696365732E636F2E756B,1,XML_WIN_WORKS_REPORT_TECHS_ANALYSIS,xml,01.07.2019,09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09.07.2019,1,,,,," htmlTables="1" htmlFormat="all"/>
  </connection>
  <connection id="183" xr16:uid="{69586CA3-F614-4694-A25A-FDA23EA19CB2}" name="194991.775.4087.464A.7719_636F756E74796761726167652E646D73657276696365732E636F2E756B,1,XML_WIN_WORKS_REPORT_TECHS_ANALYSIS,xml,01.07.2019,13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13.07.2019,1,,,,," htmlTables="1" htmlFormat="all"/>
  </connection>
  <connection id="184" xr16:uid="{42DAA129-DCD2-4C41-86D7-EB70ECC01BC1}" name="194991.775.4087.464A.7719_636F756E74796761726167652E646D73657276696365732E636F2E756B,1,XML_WIN_WORKS_REPORT_TECHS_ANALYSIS,xml,01.07.2019,16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16.07.2019,1,,,,," htmlTables="1" htmlFormat="all"/>
  </connection>
  <connection id="185" xr16:uid="{A86727F1-B916-4D35-B2EC-5A4A83141018}" name="194991.775.4087.464A.7719_636F756E74796761726167652E646D73657276696365732E636F2E756B,1,XML_WIN_WORKS_REPORT_TECHS_ANALYSIS,xml,01.07.2019,18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18.07.2019,1,,,,," htmlTables="1" htmlFormat="all"/>
  </connection>
  <connection id="186" xr16:uid="{3B83F14F-41A1-4425-A183-E5CE0840DCF6}" name="194991.775.4087.464A.7719_636F756E74796761726167652E646D73657276696365732E636F2E756B,1,XML_WIN_WORKS_REPORT_TECHS_ANALYSIS,xml,01.07.2019,20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20.07.2019,1,,,,," htmlTables="1" htmlFormat="all"/>
  </connection>
  <connection id="187" xr16:uid="{3981C882-C4D3-42B1-A44C-C7EFFB35AEDA}" name="194991.775.4087.464A.7719_636F756E74796761726167652E646D73657276696365732E636F2E756B,1,XML_WIN_WORKS_REPORT_TECHS_ANALYSIS,xml,01.07.2019,20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20.07.2019,1,,,,," htmlTables="1" htmlFormat="all"/>
  </connection>
  <connection id="188" xr16:uid="{7BE01C7E-B141-46D3-A931-D001E2556B69}" name="194991.775.4087.464A.7719_636F756E74796761726167652E646D73657276696365732E636F2E756B,1,XML_WIN_WORKS_REPORT_TECHS_ANALYSIS,xml,01.07.2019,23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23.07.2019,1,,,,," htmlTables="1" htmlFormat="all"/>
  </connection>
  <connection id="189" xr16:uid="{90275BBF-BBA9-4134-8F9C-864D40058858}" name="194991.775.4087.464A.7719_636F756E74796761726167652E646D73657276696365732E636F2E756B,1,XML_WIN_WORKS_REPORT_TECHS_ANALYSIS,xml,01.07.2019,23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23.07.2019,1,,,,," htmlTables="1" htmlFormat="all"/>
  </connection>
  <connection id="190" xr16:uid="{39974640-7E90-4979-AD5A-A6F7DC9D0BC1}" name="194991.775.4087.464A.7719_636F756E74796761726167652E646D73657276696365732E636F2E756B,1,XML_WIN_WORKS_REPORT_TECHS_ANALYSIS,xml,01.07.2019,31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31.07.2019,1,,,,," htmlTables="1" htmlFormat="all"/>
  </connection>
  <connection id="191" xr16:uid="{2C6A961B-2CBC-4C89-9258-9497CE1EB4FB}" name="194991.775.4087.464A.7719_636F756E74796761726167652E646D73657276696365732E636F2E756B,1,XML_WIN_WORKS_REPORT_TECHS_ANALYSIS,xml,01.07.2019,31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31.07.2019,1,,,,," htmlTables="1" htmlFormat="all"/>
  </connection>
  <connection id="192" xr16:uid="{0EF89770-5F32-48D9-BDE9-7710631E0820}" name="194991.775.4087.464A.7719_636F756E74796761726167652E646D73657276696365732E636F2E756B,1,XML_WIN_WORKS_REPORT_TECHS_ANALYSIS,xml,01.07.2019,31.07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31.07.2019,1,,,,," htmlTables="1" htmlFormat="all"/>
  </connection>
  <connection id="193" xr16:uid="{F1199F4C-3005-47B4-8E72-7E95875FFADA}" name="194991.775.4087.464A.7719_636F756E74796761726167652E646D73657276696365732E636F2E756B,1,XML_WIN_WORKS_REPORT_TECHS_ANALYSIS,xml,01.07.2019,31.07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7.2019,31.07.2019,1,,,,," htmlTables="1" htmlFormat="all"/>
  </connection>
  <connection id="194" xr16:uid="{00000000-0015-0000-FFFF-FFFF84000000}" name="194991.775.4087.464A.7719_636F756E74796761726167652E646D73657276696365732E636F2E756B,1,XML_WIN_WORKS_REPORT_TECHS_ANALYSIS,xml,01.08.2018,31.08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8.2018,31.08.2018,1,,,,," htmlTables="1" htmlFormat="all"/>
  </connection>
  <connection id="195" xr16:uid="{00000000-0015-0000-FFFF-FFFF85000000}" name="194991.775.4087.464A.7719_636F756E74796761726167652E646D73657276696365732E636F2E756B,1,XML_WIN_WORKS_REPORT_TECHS_ANALYSIS,xml,01.08.2018,31.08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8.2018,31.08.2018,1,,,,," htmlTables="1" htmlFormat="all"/>
  </connection>
  <connection id="196" xr16:uid="{11AD7078-71B0-4489-AC06-91CF4FF5B737}" name="194991.775.4087.464A.7719_636F756E74796761726167652E646D73657276696365732E636F2E756B,1,XML_WIN_WORKS_REPORT_TECHS_ANALYSIS,xml,01.08.2019,31.08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8.2019,31.08.2019,1,,,,," htmlTables="1" htmlFormat="all"/>
  </connection>
  <connection id="197" xr16:uid="{454A2AB4-99CE-4537-95BB-BCF0E63CF514}" name="194991.775.4087.464A.7719_636F756E74796761726167652E646D73657276696365732E636F2E756B,1,XML_WIN_WORKS_REPORT_TECHS_ANALYSIS,xml,01.08.2019,31.08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8.2019,31.08.2019,1,,,,," htmlTables="1" htmlFormat="all"/>
  </connection>
  <connection id="198" xr16:uid="{4620CB09-0C97-4E7E-9A3F-37D984A1CC51}" name="194991.775.4087.464A.7719_636F756E74796761726167652E646D73657276696365732E636F2E756B,1,XML_WIN_WORKS_REPORT_TECHS_ANALYSIS,xml,01.08.2019,31.08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8.2019,31.08.2019,1,,,,," htmlTables="1" htmlFormat="all"/>
  </connection>
  <connection id="199" xr16:uid="{1811A493-2967-4EDA-A39D-1517B3634834}" name="194991.775.4087.464A.7719_636F756E74796761726167652E646D73657276696365732E636F2E756B,1,XML_WIN_WORKS_REPORT_TECHS_ANALYSIS,xml,01.08.2019,31.08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8.2019,31.08.2019,1,,,,," htmlTables="1" htmlFormat="all"/>
  </connection>
  <connection id="200" xr16:uid="{9C245FBB-D0D2-4BDF-9706-31B543FA9022}" name="194991.775.4087.464A.7719_636F756E74796761726167652E646D73657276696365732E636F2E756B,1,XML_WIN_WORKS_REPORT_TECHS_ANALYSIS,xml,01.08.2019,31.08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8.2019,31.08.2019,1,,,,," htmlTables="1" htmlFormat="all"/>
  </connection>
  <connection id="201" xr16:uid="{6D3738EB-EB52-4F12-BA80-48FA53918E6F}" name="194991.775.4087.464A.7719_636F756E74796761726167652E646D73657276696365732E636F2E756B,1,XML_WIN_WORKS_REPORT_TECHS_ANALYSIS,xml,01.08.2019,31.085" type="4" refreshedVersion="0" background="1">
    <webPr xml="1" sourceData="1" url="https://services.dmservices.co.uk/DmsNavigator.NavigatorWebService.svc/GetNavigatorReport/194991.775.4087.464A.7719_636F756E74796761726167652E646D73657276696365732E636F2E756B,1,XML_WIN_WORKS_REPORT_TECHS_ANALYSIS,xml,01.08.2019,31.08.2019,1,,,,," htmlTables="1" htmlFormat="all"/>
  </connection>
  <connection id="202" xr16:uid="{F697636A-FE1B-45FB-995F-60CC44C5A608}" name="194991.775.4087.464A.7719_636F756E74796761726167652E646D73657276696365732E636F2E756B,1,XML_WIN_WORKS_REPORT_TECHS_ANALYSIS,xml,01.08.2019,31.08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8.2019,31.08.2019,1,,,,," htmlTables="1" htmlFormat="all"/>
  </connection>
  <connection id="203" xr16:uid="{00000000-0015-0000-FFFF-FFFF86000000}" name="194991.775.4087.464A.7719_636F756E74796761726167652E646D73657276696365732E636F2E756B,1,XML_WIN_WORKS_REPORT_TECHS_ANALYSIS,xml,01.09.17,30.09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9.17,30.09.17,1,,,,," htmlTables="1" htmlFormat="all"/>
  </connection>
  <connection id="204" xr16:uid="{00000000-0015-0000-FFFF-FFFF87000000}" name="194991.775.4087.464A.7719_636F756E74796761726167652E646D73657276696365732E636F2E756B,1,XML_WIN_WORKS_REPORT_TECHS_ANALYSIS,xml,01.09.2018,30.09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09.2018,30.09.2018,1,,,,," htmlTables="1" htmlFormat="all"/>
  </connection>
  <connection id="205" xr16:uid="{00000000-0015-0000-FFFF-FFFF88000000}" name="194991.775.4087.464A.7719_636F756E74796761726167652E646D73657276696365732E636F2E756B,1,XML_WIN_WORKS_REPORT_TECHS_ANALYSIS,xml,01.10.18,31.10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10.18,31.10.18,1,,,,," htmlTables="1" htmlFormat="all"/>
  </connection>
  <connection id="206" xr16:uid="{00000000-0015-0000-FFFF-FFFF89000000}" name="194991.775.4087.464A.7719_636F756E74796761726167652E646D73657276696365732E636F2E756B,1,XML_WIN_WORKS_REPORT_TECHS_ANALYSIS,xml,01.10.18,31.10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10.18,31.10.18,1,,,,," htmlTables="1" htmlFormat="all"/>
  </connection>
  <connection id="207" xr16:uid="{00000000-0015-0000-FFFF-FFFF8A000000}" name="194991.775.4087.464A.7719_636F756E74796761726167652E646D73657276696365732E636F2E756B,1,XML_WIN_WORKS_REPORT_TECHS_ANALYSIS,xml,01.10.2018,31.10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10.2018,31.10.2018,1,,,,," htmlTables="1" htmlFormat="all"/>
  </connection>
  <connection id="208" xr16:uid="{00000000-0015-0000-FFFF-FFFF8B000000}" name="194991.775.4087.464A.7719_636F756E74796761726167652E646D73657276696365732E636F2E756B,1,XML_WIN_WORKS_REPORT_TECHS_ANALYSIS,xml,01.10.2018,31.10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10.2018,31.10.2018,1,,,,," htmlTables="1" htmlFormat="all"/>
  </connection>
  <connection id="209" xr16:uid="{00000000-0015-0000-FFFF-FFFF8C000000}" name="194991.775.4087.464A.7719_636F756E74796761726167652E646D73657276696365732E636F2E756B,1,XML_WIN_WORKS_REPORT_TECHS_ANALYSIS,xml,01.10.2018,31.10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10.2018,31.10.2018,1,,,,," htmlTables="1" htmlFormat="all"/>
  </connection>
  <connection id="210" xr16:uid="{00000000-0015-0000-FFFF-FFFF8D000000}" name="194991.775.4087.464A.7719_636F756E74796761726167652E646D73657276696365732E636F2E756B,1,XML_WIN_WORKS_REPORT_TECHS_ANALYSIS,xml,01.11.18,30.1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11.18,30.11.18,1,,,,," htmlTables="1" htmlFormat="all"/>
  </connection>
  <connection id="211" xr16:uid="{00000000-0015-0000-FFFF-FFFF8E000000}" name="194991.775.4087.464A.7719_636F756E74796761726167652E646D73657276696365732E636F2E756B,1,XML_WIN_WORKS_REPORT_TECHS_ANALYSIS,xml,01.12.18,31.1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1.12.18,31.12.18,1,,,,," htmlTables="1" htmlFormat="all"/>
  </connection>
  <connection id="212" xr16:uid="{00000000-0015-0000-FFFF-FFFF8F000000}" name="194991.775.4087.464A.7719_636F756E74796761726167652E646D73657276696365732E636F2E756B,1,XML_WIN_WORKS_REPORT_TECHS_ANALYSIS,xml,02.03.2019,02.0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2.03.2019,02.03.2019,1,,,,," htmlTables="1" htmlFormat="all"/>
  </connection>
  <connection id="213" xr16:uid="{070670F9-94EA-4BF3-B6F5-9977A0D6F47B}" name="194991.775.4087.464A.7719_636F756E74796761726167652E646D73657276696365732E636F2E756B,1,XML_WIN_WORKS_REPORT_TECHS_ANALYSIS,xml,02.07.2019,02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2.07.2019,02.07.2019,1,,,,," htmlTables="1" htmlFormat="all"/>
  </connection>
  <connection id="214" xr16:uid="{FBBD2200-CD18-4475-96F8-70ED5DF1F7DA}" name="194991.775.4087.464A.7719_636F756E74796761726167652E646D73657276696365732E636F2E756B,1,XML_WIN_WORKS_REPORT_TECHS_ANALYSIS,xml,03.07.2019,03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3.07.2019,03.07.2019,1,,,,," htmlTables="1" htmlFormat="all"/>
  </connection>
  <connection id="215" xr16:uid="{A0460346-CDF3-4768-A57A-F35B84D81C29}" name="194991.775.4087.464A.7719_636F756E74796761726167652E646D73657276696365732E636F2E756B,1,XML_WIN_WORKS_REPORT_TECHS_ANALYSIS,xml,04.07.2019,04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4.07.2019,04.07.2019,1,,,,," htmlTables="1" htmlFormat="all"/>
  </connection>
  <connection id="216" xr16:uid="{00000000-0015-0000-FFFF-FFFF90000000}" name="194991.775.4087.464A.7719_636F756E74796761726167652E646D73657276696365732E636F2E756B,1,XML_WIN_WORKS_REPORT_TECHS_ANALYSIS,xml,05.05.2018,05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5.05.2018,05.05.2018,1,,,,," htmlTables="1" htmlFormat="all"/>
  </connection>
  <connection id="217" xr16:uid="{18EF2460-FC78-413A-B13B-9CC10611A5CD}" name="194991.775.4087.464A.7719_636F756E74796761726167652E646D73657276696365732E636F2E756B,1,XML_WIN_WORKS_REPORT_TECHS_ANALYSIS,xml,05.07.2019,05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5.07.2019,05.07.2019,1,,,,," htmlTables="1" htmlFormat="all"/>
  </connection>
  <connection id="218" xr16:uid="{93BE9235-1339-408F-A679-76A11CAD5F6D}" name="194991.775.4087.464A.7719_636F756E74796761726167652E646D73657276696365732E636F2E756B,1,XML_WIN_WORKS_REPORT_TECHS_ANALYSIS,xml,05.07.2019,05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5.07.2019,05.07.2019,1,,,,," htmlTables="1" htmlFormat="all"/>
  </connection>
  <connection id="219" xr16:uid="{DE5DD3C6-016B-49B3-B2B9-F7B5933BD48D}" name="194991.775.4087.464A.7719_636F756E74796761726167652E646D73657276696365732E636F2E756B,1,XML_WIN_WORKS_REPORT_TECHS_ANALYSIS,xml,06.07.2019,06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6.07.2019,06.07.2019,1,,,,," htmlTables="1" htmlFormat="all"/>
  </connection>
  <connection id="220" xr16:uid="{00000000-0015-0000-FFFF-FFFF91000000}" name="194991.775.4087.464A.7719_636F756E74796761726167652E646D73657276696365732E636F2E756B,1,XML_WIN_WORKS_REPORT_TECHS_ANALYSIS,xml,08.05.2018,08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8.05.2018,08.05.2018,1,,,,," htmlTables="1" htmlFormat="all"/>
  </connection>
  <connection id="221" xr16:uid="{CD36383D-B12B-4F76-A394-D173668D065A}" name="194991.775.4087.464A.7719_636F756E74796761726167652E646D73657276696365732E636F2E756B,1,XML_WIN_WORKS_REPORT_TECHS_ANALYSIS,xml,08.07.2019,08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8.07.2019,08.07.2019,1,,,,," htmlTables="1" htmlFormat="all"/>
  </connection>
  <connection id="222" xr16:uid="{C71DA5AD-63C3-4D69-B609-612371467440}" name="194991.775.4087.464A.7719_636F756E74796761726167652E646D73657276696365732E636F2E756B,1,XML_WIN_WORKS_REPORT_TECHS_ANALYSIS,xml,08.07.2019,08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8.07.2019,08.07.2019,1,,,,," htmlTables="1" htmlFormat="all"/>
  </connection>
  <connection id="223" xr16:uid="{C56A0F0D-E834-4B72-AA6A-4B8DA132D02B}" name="194991.775.4087.464A.7719_636F756E74796761726167652E646D73657276696365732E636F2E756B,1,XML_WIN_WORKS_REPORT_TECHS_ANALYSIS,xml,08.07.2019,08.07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8.07.2019,08.07.2019,1,,,,," htmlTables="1" htmlFormat="all"/>
  </connection>
  <connection id="224" xr16:uid="{A74C732A-8F9C-45C8-BF9C-7232C8A6D53B}" name="194991.775.4087.464A.7719_636F756E74796761726167652E646D73657276696365732E636F2E756B,1,XML_WIN_WORKS_REPORT_TECHS_ANALYSIS,xml,09.07.2019,09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9.07.2019,09.07.2019,1,,,,," htmlTables="1" htmlFormat="all"/>
  </connection>
  <connection id="225" xr16:uid="{1F2C5E00-03DB-477F-92D1-42168393CAE7}" name="194991.775.4087.464A.7719_636F756E74796761726167652E646D73657276696365732E636F2E756B,1,XML_WIN_WORKS_REPORT_TECHS_ANALYSIS,xml,09.07.2019,09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9.07.2019,09.07.2019,1,,,,," htmlTables="1" htmlFormat="all"/>
  </connection>
  <connection id="226" xr16:uid="{349CC29C-638F-4E71-9669-B38314E598DE}" name="194991.775.4087.464A.7719_636F756E74796761726167652E646D73657276696365732E636F2E756B,1,XML_WIN_WORKS_REPORT_TECHS_ANALYSIS,xml,09.07.2019,09.07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9.07.2019,09.07.2019,1,,,,," htmlTables="1" htmlFormat="all"/>
  </connection>
  <connection id="227" xr16:uid="{9F1718BC-5989-4AB5-8F42-5C957371EE8A}" name="194991.775.4087.464A.7719_636F756E74796761726167652E646D73657276696365732E636F2E756B,1,XML_WIN_WORKS_REPORT_TECHS_ANALYSIS,xml,09.07.2019,09.07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09.07.2019,09.07.2019,1,,,,," htmlTables="1" htmlFormat="all"/>
  </connection>
  <connection id="228" xr16:uid="{633A71B3-5EB4-4311-A9B5-3B0DBEC330B4}" name="194991.775.4087.464A.7719_636F756E74796761726167652E646D73657276696365732E636F2E756B,1,XML_WIN_WORKS_REPORT_TECHS_ANALYSIS,xml,1,01.07.2019,31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,01.07.2019,31.07.2019,,,,," htmlTables="1" htmlFormat="all"/>
  </connection>
  <connection id="229" xr16:uid="{D82EE3B8-65DA-4552-BA49-0438841DD34D}" name="194991.775.4087.464A.7719_636F756E74796761726167652E646D73657276696365732E636F2E756B,1,XML_WIN_WORKS_REPORT_TECHS_ANALYSIS,xml,1,01.07.2019,31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,01.07.2019,31.07.2019,,,,," htmlTables="1" htmlFormat="all"/>
  </connection>
  <connection id="230" xr16:uid="{0CCAF50A-F6BB-4A80-94D3-5E5E4C3369A8}" name="194991.775.4087.464A.7719_636F756E74796761726167652E646D73657276696365732E636F2E756B,1,XML_WIN_WORKS_REPORT_TECHS_ANALYSIS,xml,10.06.2019,12.0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0.06.2019,12.06.2019,1,,,,," htmlTables="1" htmlFormat="all"/>
  </connection>
  <connection id="231" xr16:uid="{AA51755B-5114-42F7-B9A4-5AB337471483}" name="194991.775.4087.464A.7719_636F756E74796761726167652E646D73657276696365732E636F2E756B,1,XML_WIN_WORKS_REPORT_TECHS_ANALYSIS,xml,10.06.2019,12.06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0.06.2019,12.06.2019,1,,,,," htmlTables="1" htmlFormat="all"/>
  </connection>
  <connection id="232" xr16:uid="{27BD4FA6-4030-4071-9895-03E0B59D122C}" name="194991.775.4087.464A.7719_636F756E74796761726167652E646D73657276696365732E636F2E756B,1,XML_WIN_WORKS_REPORT_TECHS_ANALYSIS,xml,10.07.2019,10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0.07.2019,10.07.2019,1,,,,," htmlTables="1" htmlFormat="all"/>
  </connection>
  <connection id="233" xr16:uid="{3B030451-BC5D-4D40-BC81-7145DD4D7B31}" name="194991.775.4087.464A.7719_636F756E74796761726167652E646D73657276696365732E636F2E756B,1,XML_WIN_WORKS_REPORT_TECHS_ANALYSIS,xml,10.07.2019,10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0.07.2019,10.07.2019,1,,,,," htmlTables="1" htmlFormat="all"/>
  </connection>
  <connection id="234" xr16:uid="{5E22769F-2CF7-4AC0-B496-8C4FAA0F3609}" name="194991.775.4087.464A.7719_636F756E74796761726167652E646D73657276696365732E636F2E756B,1,XML_WIN_WORKS_REPORT_TECHS_ANALYSIS,xml,10.07.2019,10.07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0.07.2019,10.07.2019,1,,,,," htmlTables="1" htmlFormat="all"/>
  </connection>
  <connection id="235" xr16:uid="{22DA727A-993B-4472-9129-E7141EE78232}" name="194991.775.4087.464A.7719_636F756E74796761726167652E646D73657276696365732E636F2E756B,1,XML_WIN_WORKS_REPORT_TECHS_ANALYSIS,xml,10.07.2019,10.07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0.07.2019,10.07.2019,1,,,,," htmlTables="1" htmlFormat="all"/>
  </connection>
  <connection id="236" xr16:uid="{DF284A96-E407-4AD0-84E7-817B7F4A8C39}" name="194991.775.4087.464A.7719_636F756E74796761726167652E646D73657276696365732E636F2E756B,1,XML_WIN_WORKS_REPORT_TECHS_ANALYSIS,xml,10.07.2019,10.07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0.07.2019,10.07.2019,1,,,,," htmlTables="1" htmlFormat="all"/>
  </connection>
  <connection id="237" xr16:uid="{7B5C10C5-3BC0-44E2-A19A-B2ACEF777454}" name="194991.775.4087.464A.7719_636F756E74796761726167652E646D73657276696365732E636F2E756B,1,XML_WIN_WORKS_REPORT_TECHS_ANALYSIS,xml,10.07.2019,10.07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0.07.2019,10.07.2019,1,,,,," htmlTables="1" htmlFormat="all"/>
  </connection>
  <connection id="238" xr16:uid="{6FDF30F4-9F89-41CF-9FDF-04389DBD72B5}" name="194991.775.4087.464A.7719_636F756E74796761726167652E646D73657276696365732E636F2E756B,1,XML_WIN_WORKS_REPORT_TECHS_ANALYSIS,xml,10.07.2019,10.07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0.07.2019,10.07.2019,1,,,,," htmlTables="1" htmlFormat="all"/>
  </connection>
  <connection id="239" xr16:uid="{4368F884-A3AC-4FE6-A610-19035C2AF7AD}" name="194991.775.4087.464A.7719_636F756E74796761726167652E646D73657276696365732E636F2E756B,1,XML_WIN_WORKS_REPORT_TECHS_ANALYSIS,xml,10.07.2019,10.07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0.07.2019,10.07.2019,1,,,,," htmlTables="1" htmlFormat="all"/>
  </connection>
  <connection id="240" xr16:uid="{8270230B-8E6B-4EBB-B895-DE9ACC7B8F88}" name="194991.775.4087.464A.7719_636F756E74796761726167652E646D73657276696365732E636F2E756B,1,XML_WIN_WORKS_REPORT_TECHS_ANALYSIS,xml,10.07.2019,10.078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0.07.2019,10.07.2019,1,,,,," htmlTables="1" htmlFormat="all"/>
  </connection>
  <connection id="241" xr16:uid="{C65D17AB-FA6E-470A-A425-A1CBB7FEF6AB}" name="194991.775.4087.464A.7719_636F756E74796761726167652E646D73657276696365732E636F2E756B,1,XML_WIN_WORKS_REPORT_TECHS_ANALYSIS,xml,11.06.2019,12.0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1.06.2019,12.06.2019,1,,,,," htmlTables="1" htmlFormat="all"/>
  </connection>
  <connection id="242" xr16:uid="{1F212A0A-41F3-4E5F-8A48-22275265CA2A}" name="194991.775.4087.464A.7719_636F756E74796761726167652E646D73657276696365732E636F2E756B,1,XML_WIN_WORKS_REPORT_TECHS_ANALYSIS,xml,11.07.2019,11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1.07.2019,11.07.2019,1,,,,," htmlTables="1" htmlFormat="all"/>
  </connection>
  <connection id="243" xr16:uid="{9BB7E6C5-A1DF-45D0-A4C5-FF7AE3196021}" name="194991.775.4087.464A.7719_636F756E74796761726167652E646D73657276696365732E636F2E756B,1,XML_WIN_WORKS_REPORT_TECHS_ANALYSIS,xml,12.06.2019,12.0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2.06.2019,12.06.2019,1,,,,," htmlTables="1" htmlFormat="all"/>
  </connection>
  <connection id="244" xr16:uid="{ECC0AF8C-7480-4154-A789-A0394E081F0F}" name="194991.775.4087.464A.7719_636F756E74796761726167652E646D73657276696365732E636F2E756B,1,XML_WIN_WORKS_REPORT_TECHS_ANALYSIS,xml,12.06.2019,12.06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2.06.2019,12.06.2019,1,,,,," htmlTables="1" htmlFormat="all"/>
  </connection>
  <connection id="245" xr16:uid="{EC48ED2E-4427-47B3-B1EE-BAB2810E8DA2}" name="194991.775.4087.464A.7719_636F756E74796761726167652E646D73657276696365732E636F2E756B,1,XML_WIN_WORKS_REPORT_TECHS_ANALYSIS,xml,12.06.2019,12.06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2.06.2019,12.06.2019,1,,,,," htmlTables="1" htmlFormat="all"/>
  </connection>
  <connection id="246" xr16:uid="{02ED2CE7-C8C6-4508-8F3D-B1A49C525CC1}" name="194991.775.4087.464A.7719_636F756E74796761726167652E646D73657276696365732E636F2E756B,1,XML_WIN_WORKS_REPORT_TECHS_ANALYSIS,xml,12.07.2019,12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2.07.2019,12.07.2019,1,,,,," htmlTables="1" htmlFormat="all"/>
  </connection>
  <connection id="247" xr16:uid="{5E2D1F8A-883E-4A24-A192-13934319140B}" name="194991.775.4087.464A.7719_636F756E74796761726167652E646D73657276696365732E636F2E756B,1,XML_WIN_WORKS_REPORT_TECHS_ANALYSIS,xml,12.07.2019,12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2.07.2019,12.07.2019,1,,,,," htmlTables="1" htmlFormat="all"/>
  </connection>
  <connection id="248" xr16:uid="{89E26CE4-9450-453B-9D74-49E53807A299}" name="194991.775.4087.464A.7719_636F756E74796761726167652E646D73657276696365732E636F2E756B,1,XML_WIN_WORKS_REPORT_TECHS_ANALYSIS,xml,13.07.2019,13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3.07.2019,13.07.2019,1,,,,," htmlTables="1" htmlFormat="all"/>
  </connection>
  <connection id="249" xr16:uid="{00000000-0015-0000-FFFF-FFFF92000000}" name="194991.775.4087.464A.7719_636F756E74796761726167652E646D73657276696365732E636F2E756B,1,XML_WIN_WORKS_REPORT_TECHS_ANALYSIS,xml,15.05.2018,15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5.05.2018,15.05.2018,1,,,,," htmlTables="1" htmlFormat="all"/>
  </connection>
  <connection id="250" xr16:uid="{C34B0C71-A4DE-4D8F-AB1F-BADAFD03CC5D}" name="194991.775.4087.464A.7719_636F756E74796761726167652E646D73657276696365732E636F2E756B,1,XML_WIN_WORKS_REPORT_TECHS_ANALYSIS,xml,15.07.2019,15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5.07.2019,15.07.2019,1,,,,," htmlTables="1" htmlFormat="all"/>
  </connection>
  <connection id="251" xr16:uid="{00000000-0015-0000-FFFF-FFFF93000000}" name="194991.775.4087.464A.7719_636F756E74796761726167652E646D73657276696365732E636F2E756B,1,XML_WIN_WORKS_REPORT_TECHS_ANALYSIS,xml,16.02.2019,16.0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6.02.2019,16.02.2019,1,,,,," htmlTables="1" htmlFormat="all"/>
  </connection>
  <connection id="252" xr16:uid="{BE19DF7C-1939-4262-9677-2AEA2D31762F}" name="194991.775.4087.464A.7719_636F756E74796761726167652E646D73657276696365732E636F2E756B,1,XML_WIN_WORKS_REPORT_TECHS_ANALYSIS,xml,16.05.2019,16.0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6.05.2019,16.03.2019,1,,,,," htmlTables="1" htmlFormat="all"/>
  </connection>
  <connection id="253" xr16:uid="{B94CD82D-1550-49A8-B4E2-DFAD46325A5E}" name="194991.775.4087.464A.7719_636F756E74796761726167652E646D73657276696365732E636F2E756B,1,XML_WIN_WORKS_REPORT_TECHS_ANALYSIS,xml,16.05.2019,16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6.05.2019,16.05.2019,1,,,,," htmlTables="1" htmlFormat="all"/>
  </connection>
  <connection id="254" xr16:uid="{0A095B9D-529D-479B-A134-EFF9D4F92E00}" name="194991.775.4087.464A.7719_636F756E74796761726167652E646D73657276696365732E636F2E756B,1,XML_WIN_WORKS_REPORT_TECHS_ANALYSIS,xml,16.07.2019,16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6.07.2019,16.07.2019,1,,,,," htmlTables="1" htmlFormat="all"/>
  </connection>
  <connection id="255" xr16:uid="{85DC5A8E-6D23-418E-8F6B-560F372D2C71}" name="194991.775.4087.464A.7719_636F756E74796761726167652E646D73657276696365732E636F2E756B,1,XML_WIN_WORKS_REPORT_TECHS_ANALYSIS,xml,16.07.2019,16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6.07.2019,16.07.2019,1,,,,," htmlTables="1" htmlFormat="all"/>
  </connection>
  <connection id="256" xr16:uid="{27B3CE3B-39ED-4908-8594-A66379BA5054}" name="194991.775.4087.464A.7719_636F756E74796761726167652E646D73657276696365732E636F2E756B,1,XML_WIN_WORKS_REPORT_TECHS_ANALYSIS,xml,16.07.2019,16.07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6.07.2019,16.07.2019,1,,,,," htmlTables="1" htmlFormat="all"/>
  </connection>
  <connection id="257" xr16:uid="{7E170C23-04CB-4B7F-B55C-F37525EC1C3C}" name="194991.775.4087.464A.7719_636F756E74796761726167652E646D73657276696365732E636F2E756B,1,XML_WIN_WORKS_REPORT_TECHS_ANALYSIS,xml,16.07.2019,16.07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6.07.2019,16.07.2019,1,,,,," htmlTables="1" htmlFormat="all"/>
  </connection>
  <connection id="258" xr16:uid="{7ABC6658-7810-43F0-993E-F07743223F6E}" name="194991.775.4087.464A.7719_636F756E74796761726167652E646D73657276696365732E636F2E756B,1,XML_WIN_WORKS_REPORT_TECHS_ANALYSIS,xml,16.07.2019,16.07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6.07.2019,16.07.2019,1,,,,," htmlTables="1" htmlFormat="all"/>
  </connection>
  <connection id="259" xr16:uid="{F5AC7002-7445-47EA-8E7C-05B6AE45C69E}" name="194991.775.4087.464A.7719_636F756E74796761726167652E646D73657276696365732E636F2E756B,1,XML_WIN_WORKS_REPORT_TECHS_ANALYSIS,xml,16.07.2019,16.07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6.07.2019,16.07.2019,1,,,,," htmlTables="1" htmlFormat="all"/>
  </connection>
  <connection id="260" xr16:uid="{FCC83EFB-CDAD-4C34-B449-7EA82358C846}" name="194991.775.4087.464A.7719_636F756E74796761726167652E646D73657276696365732E636F2E756B,1,XML_WIN_WORKS_REPORT_TECHS_ANALYSIS,xml,16.07.2019,16.07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6.07.2019,16.07.2019,1,,,,," htmlTables="1" htmlFormat="all"/>
  </connection>
  <connection id="261" xr16:uid="{BA0C9795-C13B-48A3-899E-90B3AD3792E3}" name="194991.775.4087.464A.7719_636F756E74796761726167652E646D73657276696365732E636F2E756B,1,XML_WIN_WORKS_REPORT_TECHS_ANALYSIS,xml,17.05.2019,17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7.05.2019,17.05.2019,1,,,,," htmlTables="1" htmlFormat="all"/>
  </connection>
  <connection id="262" xr16:uid="{9D56B28C-0838-438E-99F4-FC80391FB6EB}" name="194991.775.4087.464A.7719_636F756E74796761726167652E646D73657276696365732E636F2E756B,1,XML_WIN_WORKS_REPORT_TECHS_ANALYSIS,xml,17.07.2019,17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7.07.2019,17.07.2019,1,,,,," htmlTables="1" htmlFormat="all"/>
  </connection>
  <connection id="263" xr16:uid="{ADE484DB-7E43-48A7-9DA0-E1DC46FB445C}" name="194991.775.4087.464A.7719_636F756E74796761726167652E646D73657276696365732E636F2E756B,1,XML_WIN_WORKS_REPORT_TECHS_ANALYSIS,xml,17.07.2019,17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7.07.2019,17.07.2019,1,,,,," htmlTables="1" htmlFormat="all"/>
  </connection>
  <connection id="264" xr16:uid="{72FFC6B1-4045-4A43-BB40-EABB742EDE4E}" name="194991.775.4087.464A.7719_636F756E74796761726167652E646D73657276696365732E636F2E756B,1,XML_WIN_WORKS_REPORT_TECHS_ANALYSIS,xml,17.07.2019,17.07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7.07.2019,17.07.2019,1,,,,," htmlTables="1" htmlFormat="all"/>
  </connection>
  <connection id="265" xr16:uid="{2EF93E3A-EB51-42C8-97E5-F2EEF192E124}" name="194991.775.4087.464A.7719_636F756E74796761726167652E646D73657276696365732E636F2E756B,1,XML_WIN_WORKS_REPORT_TECHS_ANALYSIS,xml,18.05.2019,18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8.05.2019,18.05.2019,1,,,,," htmlTables="1" htmlFormat="all"/>
  </connection>
  <connection id="266" xr16:uid="{004DC0C6-662B-4735-9DE5-5758B8130908}" name="194991.775.4087.464A.7719_636F756E74796761726167652E646D73657276696365732E636F2E756B,1,XML_WIN_WORKS_REPORT_TECHS_ANALYSIS,xml,18.05.2019,18.05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8.05.2019,18.05.2019,1,,,,," htmlTables="1" htmlFormat="all"/>
  </connection>
  <connection id="267" xr16:uid="{86DE4E4D-12C8-4251-9DDA-39D5AC36DC22}" name="194991.775.4087.464A.7719_636F756E74796761726167652E646D73657276696365732E636F2E756B,1,XML_WIN_WORKS_REPORT_TECHS_ANALYSIS,xml,18.07.2019,18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8.07.2019,18.07.2019,1,,,,," htmlTables="1" htmlFormat="all"/>
  </connection>
  <connection id="268" xr16:uid="{76FEB390-4616-4BBE-9A51-4C1825120698}" name="194991.775.4087.464A.7719_636F756E74796761726167652E646D73657276696365732E636F2E756B,1,XML_WIN_WORKS_REPORT_TECHS_ANALYSIS,xml,18.07.2019,18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8.07.2019,18.07.2019,1,,,,," htmlTables="1" htmlFormat="all"/>
  </connection>
  <connection id="269" xr16:uid="{8C95666D-F1B7-4E97-96F2-1C26D3C213C8}" name="194991.775.4087.464A.7719_636F756E74796761726167652E646D73657276696365732E636F2E756B,1,XML_WIN_WORKS_REPORT_TECHS_ANALYSIS,xml,19.07.2019,19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9.07.2019,19.07.2019,1,,,,," htmlTables="1" htmlFormat="all"/>
  </connection>
  <connection id="270" xr16:uid="{C279686C-542A-4AA7-8B88-C6AE070E9043}" name="194991.775.4087.464A.7719_636F756E74796761726167652E646D73657276696365732E636F2E756B,1,XML_WIN_WORKS_REPORT_TECHS_ANALYSIS,xml,19.07.2019,19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19.07.2019,19.07.2019,1,,,,," htmlTables="1" htmlFormat="all"/>
  </connection>
  <connection id="271" xr16:uid="{46978604-2EFB-4A03-86D2-353BB903170F}" name="194991.775.4087.464A.7719_636F756E74796761726167652E646D73657276696365732E636F2E756B,1,XML_WIN_WORKS_REPORT_TECHS_ANALYSIS,xml,20.05.2019,12.0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0.05.2019,12.06.2019,1,,,,," htmlTables="1" htmlFormat="all"/>
  </connection>
  <connection id="272" xr16:uid="{334E7D8B-BC1E-44B5-87AB-701D14AA2EBC}" name="194991.775.4087.464A.7719_636F756E74796761726167652E646D73657276696365732E636F2E756B,1,XML_WIN_WORKS_REPORT_TECHS_ANALYSIS,xml,20.05.2019,12.06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0.05.2019,12.06.2019,1,,,,," htmlTables="1" htmlFormat="all"/>
  </connection>
  <connection id="273" xr16:uid="{10061E5B-4F21-4B7E-A02C-8BD2BDD60EA3}" name="194991.775.4087.464A.7719_636F756E74796761726167652E646D73657276696365732E636F2E756B,1,XML_WIN_WORKS_REPORT_TECHS_ANALYSIS,xml,20.05.2019,13.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0.05.2019,13.6.2019,1,,,,," htmlTables="1" htmlFormat="all"/>
  </connection>
  <connection id="274" xr16:uid="{FDBDB483-3E3A-4FA3-A0EC-4A7EA4337FC2}" name="194991.775.4087.464A.7719_636F756E74796761726167652E646D73657276696365732E636F2E756B,1,XML_WIN_WORKS_REPORT_TECHS_ANALYSIS,xml,20.05.2019,13.6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0.05.2019,13.6.2019,1,,,,," htmlTables="1" htmlFormat="all"/>
  </connection>
  <connection id="275" xr16:uid="{299EFC5A-B9FF-4245-A589-BC2AF5A6E66C}" name="194991.775.4087.464A.7719_636F756E74796761726167652E646D73657276696365732E636F2E756B,1,XML_WIN_WORKS_REPORT_TECHS_ANALYSIS,xml,20.05.2019,20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0.05.2019,20.05.2019,1,,,,," htmlTables="1" htmlFormat="all"/>
  </connection>
  <connection id="276" xr16:uid="{40380DC7-E292-4D43-BEDE-F6230AC36885}" name="194991.775.4087.464A.7719_636F756E74796761726167652E646D73657276696365732E636F2E756B,1,XML_WIN_WORKS_REPORT_TECHS_ANALYSIS,xml,20.05.2019,20.05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0.05.2019,20.05.2019,1,,,,," htmlTables="1" htmlFormat="all"/>
  </connection>
  <connection id="277" xr16:uid="{3ED45649-32EE-4D7B-B5E6-739F1F750191}" name="194991.775.4087.464A.7719_636F756E74796761726167652E646D73657276696365732E636F2E756B,1,XML_WIN_WORKS_REPORT_TECHS_ANALYSIS,xml,20.05.2019,31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0.05.2019,31.05.2019,1,,,,," htmlTables="1" htmlFormat="all"/>
  </connection>
  <connection id="278" xr16:uid="{00000000-0015-0000-FFFF-FFFF94000000}" name="194991.775.4087.464A.7719_636F756E74796761726167652E646D73657276696365732E636F2E756B,1,XML_WIN_WORKS_REPORT_TECHS_ANALYSIS,xml,21.05.2018,21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1.05.2018,21.05.2018,1,,,,," htmlTables="1" htmlFormat="all"/>
  </connection>
  <connection id="279" xr16:uid="{B33DFECC-CB55-4F5C-BB66-4252A4A6332A}" name="194991.775.4087.464A.7719_636F756E74796761726167652E646D73657276696365732E636F2E756B,1,XML_WIN_WORKS_REPORT_TECHS_ANALYSIS,xml,21.05.2019,21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1.05.2019,21.05.2019,1,,,,," htmlTables="1" htmlFormat="all"/>
  </connection>
  <connection id="280" xr16:uid="{20CDD963-6C7B-4133-8A46-F4724393CA8C}" name="194991.775.4087.464A.7719_636F756E74796761726167652E646D73657276696365732E636F2E756B,1,XML_WIN_WORKS_REPORT_TECHS_ANALYSIS,xml,22.05.2019,22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2.05.2019,22.05.2019,1,,,,," htmlTables="1" htmlFormat="all"/>
  </connection>
  <connection id="281" xr16:uid="{6D82285F-2915-4FBD-BFF3-738A2F904C3E}" name="194991.775.4087.464A.7719_636F756E74796761726167652E646D73657276696365732E636F2E756B,1,XML_WIN_WORKS_REPORT_TECHS_ANALYSIS,xml,22.05.2019,22.05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2.05.2019,22.05.2019,1,,,,," htmlTables="1" htmlFormat="all"/>
  </connection>
  <connection id="282" xr16:uid="{8869523A-7A92-4AC1-9012-88EB9E2CB7D9}" name="194991.775.4087.464A.7719_636F756E74796761726167652E646D73657276696365732E636F2E756B,1,XML_WIN_WORKS_REPORT_TECHS_ANALYSIS,xml,22.05.2019,22.05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2.05.2019,22.05.2019,1,,,,," htmlTables="1" htmlFormat="all"/>
  </connection>
  <connection id="283" xr16:uid="{EBBAD367-D2C9-497D-A1C9-8AE52D09E086}" name="194991.775.4087.464A.7719_636F756E74796761726167652E646D73657276696365732E636F2E756B,1,XML_WIN_WORKS_REPORT_TECHS_ANALYSIS,xml,22.05.2019,22.05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2.05.2019,22.05.2019,1,,,,," htmlTables="1" htmlFormat="all"/>
  </connection>
  <connection id="284" xr16:uid="{719079A1-DD17-4E94-BCA9-F70907DD3E0C}" name="194991.775.4087.464A.7719_636F756E74796761726167652E646D73657276696365732E636F2E756B,1,XML_WIN_WORKS_REPORT_TECHS_ANALYSIS,xml,22.05.2019,22.05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2.05.2019,22.05.2019,1,,,,," htmlTables="1" htmlFormat="all"/>
  </connection>
  <connection id="285" xr16:uid="{F75501A7-8D2A-40A2-8377-1A7D547AF575}" name="194991.775.4087.464A.7719_636F756E74796761726167652E646D73657276696365732E636F2E756B,1,XML_WIN_WORKS_REPORT_TECHS_ANALYSIS,xml,22.07.2019,22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2.07.2019,22.07.2019,1,,,,," htmlTables="1" htmlFormat="all"/>
  </connection>
  <connection id="286" xr16:uid="{A55366AD-D140-4DB7-8C82-ED40145FB74B}" name="194991.775.4087.464A.7719_636F756E74796761726167652E646D73657276696365732E636F2E756B,1,XML_WIN_WORKS_REPORT_TECHS_ANALYSIS,xml,22.07.2019,22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2.07.2019,22.07.2019,1,,,,," htmlTables="1" htmlFormat="all"/>
  </connection>
  <connection id="287" xr16:uid="{A54FFB01-DA57-4565-9DEC-190F2CD96858}" name="194991.775.4087.464A.7719_636F756E74796761726167652E646D73657276696365732E636F2E756B,1,XML_WIN_WORKS_REPORT_TECHS_ANALYSIS,xml,22.07.2019,22.07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2.07.2019,22.07.2019,1,,,,," htmlTables="1" htmlFormat="all"/>
  </connection>
  <connection id="288" xr16:uid="{00000000-0015-0000-FFFF-FFFF95000000}" name="194991.775.4087.464A.7719_636F756E74796761726167652E646D73657276696365732E636F2E756B,1,XML_WIN_WORKS_REPORT_TECHS_ANALYSIS,xml,23.02.2019,23.0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3.02.2019,23.01.2019,1,,,,," htmlTables="1" htmlFormat="all"/>
  </connection>
  <connection id="289" xr16:uid="{00000000-0015-0000-FFFF-FFFF96000000}" name="194991.775.4087.464A.7719_636F756E74796761726167652E646D73657276696365732E636F2E756B,1,XML_WIN_WORKS_REPORT_TECHS_ANALYSIS,xml,23.02.2019,23.0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3.02.2019,23.02.2019,1,,,,," htmlTables="1" htmlFormat="all"/>
  </connection>
  <connection id="290" xr16:uid="{0957A135-F155-4F61-A78A-EC1945C07B06}" name="194991.775.4087.464A.7719_636F756E74796761726167652E646D73657276696365732E636F2E756B,1,XML_WIN_WORKS_REPORT_TECHS_ANALYSIS,xml,23.05.2019,23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3.05.2019,23.05.2019,1,,,,," htmlTables="1" htmlFormat="all"/>
  </connection>
  <connection id="291" xr16:uid="{A9E6BD35-E9CB-4742-B0FB-172F23D35C1E}" name="194991.775.4087.464A.7719_636F756E74796761726167652E646D73657276696365732E636F2E756B,1,XML_WIN_WORKS_REPORT_TECHS_ANALYSIS,xml,23.07.2019,23.07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3.07.2019,23.07.2019,1,,,,," htmlTables="1" htmlFormat="all"/>
  </connection>
  <connection id="292" xr16:uid="{6C9C34DD-25C8-4ED0-A707-7A2E6C3B3628}" name="194991.775.4087.464A.7719_636F756E74796761726167652E646D73657276696365732E636F2E756B,1,XML_WIN_WORKS_REPORT_TECHS_ANALYSIS,xml,23.07.2019,23.07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3.07.2019,23.07.2019,1,,,,," htmlTables="1" htmlFormat="all"/>
  </connection>
  <connection id="293" xr16:uid="{9581AAF8-44D8-4F41-AA66-468AC1542783}" name="194991.775.4087.464A.7719_636F756E74796761726167652E646D73657276696365732E636F2E756B,1,XML_WIN_WORKS_REPORT_TECHS_ANALYSIS,xml,23.07.2019,23.07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3.07.2019,23.07.2019,1,,,,," htmlTables="1" htmlFormat="all"/>
  </connection>
  <connection id="294" xr16:uid="{D2B720E7-EB1A-4F45-8890-2B34F860D269}" name="194991.775.4087.464A.7719_636F756E74796761726167652E646D73657276696365732E636F2E756B,1,XML_WIN_WORKS_REPORT_TECHS_ANALYSIS,xml,23.07.2019,23.07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3.07.2019,23.07.2019,1,,,,," htmlTables="1" htmlFormat="all"/>
  </connection>
  <connection id="295" xr16:uid="{87C0FC36-DE42-4942-B79E-ABAFC21B6E9A}" name="194991.775.4087.464A.7719_636F756E74796761726167652E646D73657276696365732E636F2E756B,1,XML_WIN_WORKS_REPORT_TECHS_ANALYSIS,xml,23.07.2019,23.07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3.07.2019,23.07.2019,1,,,,," htmlTables="1" htmlFormat="all"/>
  </connection>
  <connection id="296" xr16:uid="{4D447170-5DF5-44B8-BAE6-016C4F263615}" name="194991.775.4087.464A.7719_636F756E74796761726167652E646D73657276696365732E636F2E756B,1,XML_WIN_WORKS_REPORT_TECHS_ANALYSIS,xml,23.07.2019,23.07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3.07.2019,23.07.2019,1,,,,," htmlTables="1" htmlFormat="all"/>
  </connection>
  <connection id="297" xr16:uid="{BA3FEBBE-BEBC-45FE-ABD3-193AF54DDA2E}" name="194991.775.4087.464A.7719_636F756E74796761726167652E646D73657276696365732E636F2E756B,1,XML_WIN_WORKS_REPORT_TECHS_ANALYSIS,xml,23.07.2019,23.07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3.07.2019,23.07.2019,1,,,,," htmlTables="1" htmlFormat="all"/>
  </connection>
  <connection id="298" xr16:uid="{7C29963C-9B43-4D5D-80FB-2A4D72DB3DC5}" name="194991.775.4087.464A.7719_636F756E74796761726167652E646D73657276696365732E636F2E756B,1,XML_WIN_WORKS_REPORT_TECHS_ANALYSIS,xml,24.05.2019,24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4.05.2019,24.05.2019,1,,,,," htmlTables="1" htmlFormat="all"/>
  </connection>
  <connection id="299" xr16:uid="{7448F91F-889C-49A8-8722-05481EF564F3}" name="194991.775.4087.464A.7719_636F756E74796761726167652E646D73657276696365732E636F2E756B,1,XML_WIN_WORKS_REPORT_TECHS_ANALYSIS,xml,28.05.2019,28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8.05.2019,28.05.2019,1,,,,," htmlTables="1" htmlFormat="all"/>
  </connection>
  <connection id="300" xr16:uid="{509F0180-C69C-42E5-836C-162BA091342C}" name="194991.775.4087.464A.7719_636F756E74796761726167652E646D73657276696365732E636F2E756B,1,XML_WIN_WORKS_REPORT_TECHS_ANALYSIS,xml,29.05.2019,29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9.05.2019,29.05.2019,1,,,,," htmlTables="1" htmlFormat="all"/>
  </connection>
  <connection id="301" xr16:uid="{29BF8147-4EBE-4867-A999-F85773431DA3}" name="194991.775.4087.464A.7719_636F756E74796761726167652E646D73657276696365732E636F2E756B,1,XML_WIN_WORKS_REPORT_TECHS_ANALYSIS,xml,29.05.2019,29.05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29.05.2019,29.05.2019,1,,,,," htmlTables="1" htmlFormat="all"/>
  </connection>
  <connection id="302" xr16:uid="{040D2D00-3F6B-4899-9CD3-66D6A760347B}" name="194991.775.4087.464A.7719_636F756E74796761726167652E646D73657276696365732E636F2E756B,1,XML_WIN_WORKS_REPORT_TECHS_ANALYSIS,xml,30.05.2019,30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30.05.2019,30.05.2019,1,,,,," htmlTables="1" htmlFormat="all"/>
  </connection>
  <connection id="303" xr16:uid="{37898264-460A-4946-A414-7397CCB35B08}" name="194991.775.4087.464A.7719_636F756E74796761726167652E646D73657276696365732E636F2E756B,1,XML_WIN_WORKS_REPORT_TECHS_ANALYSIS,xml,31.05.2019,31.0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31.05.2019,31.05.2019,1,,,,," htmlTables="1" htmlFormat="all"/>
  </connection>
  <connection id="304" xr16:uid="{49841B3D-2B68-4E9D-A58C-8E44B78DA75D}" name="194991.775.4087.464A.7719_636F756E74796761726167652E646D73657276696365732E636F2E756B,1,XML_WIN_WORKS_REPORT_TECHS_ANALYSIS,xml,31.05.2019,31.051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31.05.2019,31.05.2019,1,,,,," htmlTables="1" htmlFormat="all"/>
  </connection>
  <connection id="305" xr16:uid="{8004111C-8BBC-4C40-8E74-A5922AA92636}" name="194991.775.4087.464A.7719_636F756E74796761726167652E646D73657276696365732E636F2E756B,1,XML_WIN_WORKS_REPORT_TECHS_ANALYSIS,xml,31.05.2019,31.052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31.05.2019,31.05.2019,1,,,,," htmlTables="1" htmlFormat="all"/>
  </connection>
  <connection id="306" xr16:uid="{BFA28178-881F-46DF-8438-56FC6B655E01}" name="194991.775.4087.464A.7719_636F756E74796761726167652E646D73657276696365732E636F2E756B,1,XML_WIN_WORKS_REPORT_TECHS_ANALYSIS,xml,31.05.2019,31.053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31.05.2019,31.05.2019,1,,,,," htmlTables="1" htmlFormat="all"/>
  </connection>
  <connection id="307" xr16:uid="{25F9FBAE-529B-4AC4-917F-A7B56DBE5457}" name="194991.775.4087.464A.7719_636F756E74796761726167652E646D73657276696365732E636F2E756B,1,XML_WIN_WORKS_REPORT_TECHS_ANALYSIS,xml,31.05.2019,31.054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31.05.2019,31.05.2019,1,,,,," htmlTables="1" htmlFormat="all"/>
  </connection>
  <connection id="308" xr16:uid="{3CBC59C2-5013-47E5-BE25-4C9CBAE03EA2}" name="194991.775.4087.464A.7719_636F756E74796761726167652E646D73657276696365732E636F2E756B,1,XML_WIN_WORKS_REPORT_TECHS_ANALYSIS,xml,31.05.2019,31.055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31.05.2019,31.05.2019,1,,,,," htmlTables="1" htmlFormat="all"/>
  </connection>
  <connection id="309" xr16:uid="{1984D59F-FD3B-47B2-94CD-9BBB6582B508}" name="194991.775.4087.464A.7719_636F756E74796761726167652E646D73657276696365732E636F2E756B,1,XML_WIN_WORKS_REPORT_TECHS_ANALYSIS,xml,31.05.2019,31.056" type="4" refreshedVersion="0" background="1">
    <webPr xml="1" sourceData="1" url="http://services.dmservices.co.uk/DmsNavigator.NavigatorWebService.svc/GetNavigatorReport/194991.775.4087.464A.7719_636F756E74796761726167652E646D73657276696365732E636F2E756B,1,XML_WIN_WORKS_REPORT_TECHS_ANALYSIS,xml,31.05.2019,31.05.2019,1,,,,," htmlTables="1" htmlFormat="all"/>
  </connection>
</connections>
</file>

<file path=xl/sharedStrings.xml><?xml version="1.0" encoding="utf-8"?>
<sst xmlns="http://schemas.openxmlformats.org/spreadsheetml/2006/main" count="747" uniqueCount="113">
  <si>
    <t>APIKey</t>
  </si>
  <si>
    <t>Sheet Name</t>
  </si>
  <si>
    <t>Report Name</t>
  </si>
  <si>
    <t>XML_WIN_WORKS_REPORT_TECHS_ANALYSIS</t>
  </si>
  <si>
    <t>TechsReport</t>
  </si>
  <si>
    <t>Date From</t>
  </si>
  <si>
    <t>Date To</t>
  </si>
  <si>
    <t>Branch list</t>
  </si>
  <si>
    <t>194991.775.4087.464A.7719_636F756E74796761726167652E646D73657276696365732E636F2E756B,1</t>
  </si>
  <si>
    <t>no</t>
  </si>
  <si>
    <t>name</t>
  </si>
  <si>
    <t>date</t>
  </si>
  <si>
    <t>hourstaken</t>
  </si>
  <si>
    <t>hourssold</t>
  </si>
  <si>
    <t>laboursold</t>
  </si>
  <si>
    <t>labourcos</t>
  </si>
  <si>
    <t>labourprofit</t>
  </si>
  <si>
    <t>parts</t>
  </si>
  <si>
    <t>menudiscount</t>
  </si>
  <si>
    <t>labourrecovery</t>
  </si>
  <si>
    <t>effpercent</t>
  </si>
  <si>
    <t>attendedtime</t>
  </si>
  <si>
    <t>clockedonjobs</t>
  </si>
  <si>
    <t>nonproductive</t>
  </si>
  <si>
    <t>utilisationpercent</t>
  </si>
  <si>
    <t>wipadj</t>
  </si>
  <si>
    <t>13</t>
  </si>
  <si>
    <t>14</t>
  </si>
  <si>
    <t>15</t>
  </si>
  <si>
    <t>16</t>
  </si>
  <si>
    <t>Neal Leslie (13)</t>
  </si>
  <si>
    <t>Adrian Clark (14)</t>
  </si>
  <si>
    <t>Adrian Tutt (15)</t>
  </si>
  <si>
    <t>John King (16)</t>
  </si>
  <si>
    <t>Technician Name</t>
  </si>
  <si>
    <t>Hours Attended</t>
  </si>
  <si>
    <t>Hours On Jobs</t>
  </si>
  <si>
    <t>Hours Charged</t>
  </si>
  <si>
    <t>Non Productive</t>
  </si>
  <si>
    <t>Labour Sales</t>
  </si>
  <si>
    <t>Menu Priced Discount</t>
  </si>
  <si>
    <t>Net Labour Sales</t>
  </si>
  <si>
    <t>Utilisation %</t>
  </si>
  <si>
    <t>Operating Efficiency</t>
  </si>
  <si>
    <t>Recovery Rate</t>
  </si>
  <si>
    <t>Technicians Analysis</t>
  </si>
  <si>
    <t>From</t>
  </si>
  <si>
    <t>to</t>
  </si>
  <si>
    <t>+</t>
  </si>
  <si>
    <t>Productives Total</t>
  </si>
  <si>
    <t>Grand Total</t>
  </si>
  <si>
    <t>Liam Minter (23)</t>
  </si>
  <si>
    <t>23</t>
  </si>
  <si>
    <t xml:space="preserve"> </t>
  </si>
  <si>
    <t>Target</t>
  </si>
  <si>
    <t>Days Available</t>
  </si>
  <si>
    <t>Individual</t>
  </si>
  <si>
    <t>Remaining</t>
  </si>
  <si>
    <t>Individual Target</t>
  </si>
  <si>
    <t xml:space="preserve">Team </t>
  </si>
  <si>
    <t>Daily Target</t>
  </si>
  <si>
    <t>Total Days</t>
  </si>
  <si>
    <t>Controller</t>
  </si>
  <si>
    <t>Total Hours Technicians</t>
  </si>
  <si>
    <t>Total Hours Controller</t>
  </si>
  <si>
    <t>Target Recovery Controller</t>
  </si>
  <si>
    <t>Target Productivity Controller</t>
  </si>
  <si>
    <t>Super Team</t>
  </si>
  <si>
    <t>Recovery Rate Target</t>
  </si>
  <si>
    <t>Productivity% Target</t>
  </si>
  <si>
    <t>Productivity</t>
  </si>
  <si>
    <t>Remaning/Actual</t>
  </si>
  <si>
    <t>Overall Total</t>
  </si>
  <si>
    <t>Controller Days Available</t>
  </si>
  <si>
    <t>26</t>
  </si>
  <si>
    <t>Adrian Baker (26)</t>
  </si>
  <si>
    <t>Spare</t>
  </si>
  <si>
    <t>Alex Black (27)</t>
  </si>
  <si>
    <t>27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</si>
  <si>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</si>
  <si>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31.07.2019</t>
  </si>
  <si>
    <t>01.07.2019</t>
  </si>
  <si>
    <t>01/07/19</t>
  </si>
  <si>
    <t>02/07/19</t>
  </si>
  <si>
    <t>03/07/19</t>
  </si>
  <si>
    <t>04/07/19</t>
  </si>
  <si>
    <t>05/07/19</t>
  </si>
  <si>
    <t>06/07/19</t>
  </si>
  <si>
    <t>07/07/19</t>
  </si>
  <si>
    <t>08/07/19</t>
  </si>
  <si>
    <t>09/07/19</t>
  </si>
  <si>
    <t>10/07/19</t>
  </si>
  <si>
    <t>11/07/19</t>
  </si>
  <si>
    <t>12/07/19</t>
  </si>
  <si>
    <t>13/07/19</t>
  </si>
  <si>
    <t>14/07/19</t>
  </si>
  <si>
    <t>15/07/19</t>
  </si>
  <si>
    <t>16/07/19</t>
  </si>
  <si>
    <t>17/07/19</t>
  </si>
  <si>
    <t>18/07/19</t>
  </si>
  <si>
    <t>19/07/19</t>
  </si>
  <si>
    <t>20/07/19</t>
  </si>
  <si>
    <t>21/07/19</t>
  </si>
  <si>
    <t>22/07/19</t>
  </si>
  <si>
    <t>23/07/19</t>
  </si>
  <si>
    <t>24/07/19</t>
  </si>
  <si>
    <t>25/07/19</t>
  </si>
  <si>
    <t>26/07/19</t>
  </si>
  <si>
    <t>27/07/19</t>
  </si>
  <si>
    <t>28/07/19</t>
  </si>
  <si>
    <t>29/07/19</t>
  </si>
  <si>
    <t>30/07/19</t>
  </si>
  <si>
    <t>31/07/19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</si>
</sst>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</cellStyleXfs>
  <cellXfs count="54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3" fontId="0" fillId="0" borderId="0" xfId="1" applyFont="1" applyAlignment="1">
      <alignment horizontal="right"/>
    </xf>
    <xf numFmtId="43" fontId="0" fillId="0" borderId="0" xfId="0" applyNumberFormat="1" applyAlignment="1">
      <alignment horizontal="right"/>
    </xf>
    <xf numFmtId="49" fontId="0" fillId="0" borderId="0" xfId="0" applyNumberFormat="1"/>
    <xf numFmtId="43" fontId="0" fillId="0" borderId="0" xfId="0" applyNumberFormat="1"/>
    <xf numFmtId="9" fontId="0" fillId="0" borderId="0" xfId="2" applyFont="1"/>
    <xf numFmtId="9" fontId="0" fillId="0" borderId="0" xfId="2" applyFont="1" applyAlignment="1">
      <alignment horizontal="right"/>
    </xf>
    <xf numFmtId="43" fontId="5" fillId="0" borderId="3" xfId="5" applyNumberFormat="1" applyAlignment="1">
      <alignment horizontal="right"/>
    </xf>
    <xf numFmtId="43" fontId="5" fillId="0" borderId="3" xfId="5" applyNumberFormat="1"/>
    <xf numFmtId="9" fontId="5" fillId="0" borderId="3" xfId="5" applyNumberFormat="1"/>
    <xf numFmtId="9" fontId="5" fillId="0" borderId="3" xfId="5" applyNumberFormat="1" applyAlignment="1">
      <alignment horizontal="right"/>
    </xf>
    <xf numFmtId="0" fontId="4" fillId="0" borderId="2" xfId="4"/>
    <xf numFmtId="43" fontId="4" fillId="0" borderId="2" xfId="4" applyNumberFormat="1"/>
    <xf numFmtId="0" fontId="3" fillId="0" borderId="1" xfId="3"/>
    <xf numFmtId="43" fontId="0" fillId="0" borderId="0" xfId="1" applyFont="1" applyAlignment="1">
      <alignment horizontal="left"/>
    </xf>
    <xf numFmtId="14" fontId="3" fillId="0" borderId="1" xfId="3" applyNumberFormat="1"/>
    <xf numFmtId="0" fontId="0" fillId="0" borderId="0" xfId="0" quotePrefix="1"/>
    <xf numFmtId="43" fontId="0" fillId="0" borderId="0" xfId="0" applyNumberFormat="1" applyAlignment="1">
      <alignment horizontal="center"/>
    </xf>
    <xf numFmtId="43" fontId="0" fillId="0" borderId="0" xfId="4" applyNumberFormat="1" applyFont="1" applyBorder="1" applyAlignment="1">
      <alignment horizontal="center"/>
    </xf>
    <xf numFmtId="165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164" fontId="0" fillId="0" borderId="0" xfId="0" applyNumberFormat="1"/>
    <xf numFmtId="43" fontId="5" fillId="0" borderId="4" xfId="0" applyNumberFormat="1" applyFont="1" applyBorder="1" applyAlignment="1">
      <alignment horizontal="left"/>
    </xf>
    <xf numFmtId="43" fontId="5" fillId="0" borderId="4" xfId="0" applyNumberFormat="1" applyFont="1" applyBorder="1" applyAlignment="1">
      <alignment horizontal="right"/>
    </xf>
    <xf numFmtId="43" fontId="5" fillId="0" borderId="4" xfId="4" applyNumberFormat="1" applyFont="1" applyBorder="1" applyAlignment="1">
      <alignment horizontal="right"/>
    </xf>
    <xf numFmtId="43" fontId="0" fillId="0" borderId="5" xfId="1" applyFont="1" applyBorder="1" applyAlignment="1">
      <alignment horizontal="left"/>
    </xf>
    <xf numFmtId="165" fontId="0" fillId="0" borderId="6" xfId="0" applyNumberFormat="1" applyBorder="1" applyAlignment="1">
      <alignment horizontal="right"/>
    </xf>
    <xf numFmtId="43" fontId="0" fillId="0" borderId="7" xfId="1" applyFont="1" applyBorder="1" applyAlignment="1">
      <alignment horizontal="left"/>
    </xf>
    <xf numFmtId="165" fontId="0" fillId="0" borderId="8" xfId="0" applyNumberFormat="1" applyBorder="1" applyAlignment="1">
      <alignment horizontal="right"/>
    </xf>
    <xf numFmtId="43" fontId="0" fillId="0" borderId="7" xfId="1" applyFont="1" applyBorder="1"/>
    <xf numFmtId="43" fontId="0" fillId="0" borderId="9" xfId="1" applyFont="1" applyBorder="1" applyAlignment="1">
      <alignment horizontal="left"/>
    </xf>
    <xf numFmtId="9" fontId="0" fillId="0" borderId="10" xfId="0" applyNumberFormat="1" applyBorder="1" applyAlignment="1">
      <alignment horizontal="right"/>
    </xf>
    <xf numFmtId="0" fontId="5" fillId="2" borderId="0" xfId="0" applyFont="1" applyFill="1" applyAlignment="1">
      <alignment horizontal="right"/>
    </xf>
    <xf numFmtId="0" fontId="5" fillId="2" borderId="0" xfId="0" applyFont="1" applyFill="1"/>
    <xf numFmtId="1" fontId="5" fillId="2" borderId="0" xfId="0" applyNumberFormat="1" applyFont="1" applyFill="1"/>
    <xf numFmtId="166" fontId="5" fillId="2" borderId="0" xfId="0" applyNumberFormat="1" applyFont="1" applyFill="1"/>
    <xf numFmtId="166" fontId="0" fillId="2" borderId="0" xfId="0" applyNumberFormat="1" applyFill="1" applyAlignment="1">
      <alignment horizontal="center"/>
    </xf>
    <xf numFmtId="43" fontId="5" fillId="0" borderId="4" xfId="4" applyNumberFormat="1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164" fontId="0" fillId="3" borderId="0" xfId="0" applyNumberFormat="1" applyFill="1"/>
    <xf numFmtId="43" fontId="5" fillId="0" borderId="0" xfId="4" applyNumberFormat="1" applyFont="1" applyBorder="1" applyAlignment="1">
      <alignment horizontal="right"/>
    </xf>
    <xf numFmtId="43" fontId="4" fillId="0" borderId="2" xfId="4" applyNumberFormat="1" applyAlignment="1">
      <alignment horizontal="right"/>
    </xf>
    <xf numFmtId="0" fontId="0" fillId="2" borderId="0" xfId="0" applyFill="1" applyAlignment="1">
      <alignment horizontal="right"/>
    </xf>
    <xf numFmtId="166" fontId="0" fillId="2" borderId="0" xfId="0" applyNumberFormat="1" applyFill="1"/>
    <xf numFmtId="1" fontId="0" fillId="2" borderId="0" xfId="0" applyNumberFormat="1" applyFill="1"/>
    <xf numFmtId="0" fontId="0" fillId="2" borderId="0" xfId="0" applyFill="1"/>
    <xf numFmtId="0" fontId="0" fillId="2" borderId="0" xfId="0" applyFill="1" applyAlignment="1">
      <alignment horizontal="center"/>
    </xf>
    <xf numFmtId="2" fontId="0" fillId="2" borderId="0" xfId="0" applyNumberFormat="1" applyFill="1" applyAlignment="1">
      <alignment horizontal="right"/>
    </xf>
    <xf numFmtId="43" fontId="0" fillId="2" borderId="0" xfId="0" applyNumberFormat="1" applyFill="1"/>
    <xf numFmtId="10" fontId="0" fillId="2" borderId="0" xfId="0" applyNumberFormat="1" applyFill="1"/>
    <xf numFmtId="43" fontId="0" fillId="0" borderId="8" xfId="0" applyNumberFormat="1" applyBorder="1" applyAlignment="1">
      <alignment horizontal="right"/>
    </xf>
    <xf numFmtId="1" fontId="0" fillId="0" borderId="0" xfId="0" quotePrefix="1" applyNumberFormat="1"/>
  </cellXfs>
  <cellStyles count="6">
    <cellStyle name="Comma" xfId="1" builtinId="3"/>
    <cellStyle name="Heading 1" xfId="3" builtinId="16"/>
    <cellStyle name="Heading 3" xfId="4" builtinId="18"/>
    <cellStyle name="Normal" xfId="0" builtinId="0"/>
    <cellStyle name="Percent" xfId="2" builtinId="5"/>
    <cellStyle name="Total" xfId="5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urn:reports'">
  <Schema ID="Schema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1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1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1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1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1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1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1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1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1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1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</xsd:sequence>
      </xsd:complexType>
    </xsd:schema>
  </Schema>
  <Schema ID="Schema2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  <xsd:element name="make" type="xsd:string"/>
        </xsd:sequence>
      </xsd:complexType>
    </xsd:schema>
  </Schema>
  <Schema ID="Schema2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jobno" type="xsd:string"/>
          <xsd:element name="branch" type="xsd:string"/>
          <xsd:element name="warranty" type="xsd:boolean"/>
          <xsd:element name="sales" type="xsd:boolean"/>
          <xsd:element name="customername" type="xsd:string"/>
          <xsd:element name="regno" type="xsd:string"/>
          <xsd:element name="apptdate" type="xsd:date"/>
          <xsd:element name="datewanted" type="xsd:date"/>
          <xsd:element name="jobstatus" type="xsd:string"/>
          <xsd:element name="loancar" type="xsd:boolean"/>
          <xsd:element name="retail" type="xsd:decimal"/>
          <xsd:element name="internal" type="xsd:decimal"/>
          <xsd:element name="warranty13" type="xsd:decimal"/>
          <xsd:element name="timespent" type="xsd:decimal"/>
          <xsd:element name="balance" type="xsd:decimal"/>
          <xsd:element name="parts" type="xsd:decimal"/>
          <xsd:element name="subcontract" type="xsd:decimal"/>
          <xsd:element name="daysover" type="xsd:decimal"/>
          <xsd:element name="invoiced" type="xsd:boolean"/>
          <xsd:element name="partpaid" type="xsd:boolean"/>
          <xsd:element name="make" type="xsd:string"/>
        </xsd:sequence>
      </xsd:complexType>
    </xsd:schema>
  </Schema>
  <Schema ID="Schema2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stock" type="xsd:string"/>
          <xsd:element name="branch" type="xsd:string"/>
          <xsd:element name="newused" type="xsd:string"/>
          <xsd:element name="category" type="xsd:string"/>
          <xsd:element name="type" type="xsd:string"/>
          <xsd:element name="regno" type="xsd:string"/>
          <xsd:element name="chassisno" type="xsd:string"/>
          <xsd:element name="make" type="xsd:string"/>
          <xsd:element name="model" type="xsd:string"/>
          <xsd:element name="deriv" type="xsd:string"/>
          <xsd:element name="year" type="xsd:string"/>
          <xsd:element name="customer" type="xsd:string"/>
          <xsd:element name="postcode" type="xsd:string"/>
          <xsd:element name="salesman" type="xsd:string"/>
          <xsd:element name="notused" type="xsd:string"/>
          <xsd:element name="consigned" type="xsd:date"/>
          <xsd:element name="invoiced" type="xsd:date"/>
          <xsd:element name="ordered" type="xsd:date"/>
          <xsd:element name="delivery" type="xsd:date"/>
          <xsd:element name="delivered" type="xsd:boolean"/>
          <xsd:element name="quantity" type="xsd:decimal"/>
          <xsd:element name="finance" type="xsd:boolean"/>
          <xsd:element name="financeco" type="xsd:string"/>
          <xsd:element name="extwarr" type="xsd:boolean"/>
          <xsd:element name="px" type="xsd:boolean"/>
          <xsd:element name="totalmargin" type="xsd:decimal"/>
          <xsd:element name="approvedmargin" type="xsd:decimal"/>
          <xsd:element name="vehiclesale" type="xsd:decimal"/>
          <xsd:element name="vehiclemargin" type="xsd:decimal"/>
          <xsd:element name="pdiprep" type="xsd:decimal"/>
          <xsd:element name="pxoverall" type="xsd:decimal"/>
          <xsd:element name="bonus" type="xsd:decimal"/>
          <xsd:element name="rflmargin" type="xsd:decimal"/>
          <xsd:element name="sundrycosts" type="xsd:decimal"/>
          <xsd:element name="othercosts" type="xsd:decimal"/>
          <xsd:element name="accessorysale" type="xsd:decimal"/>
          <xsd:element name="accessorymargin" type="xsd:decimal"/>
          <xsd:element name="writedown" type="xsd:decimal"/>
          <xsd:element name="customeremail" type="xsd:string"/>
          <xsd:element name="customernumber" type="xsd:string"/>
          <xsd:element name="warrsale" type="xsd:decimal"/>
          <xsd:element name="warrmargin" type="xsd:decimal"/>
          <xsd:element name="financemargin" type="xsd:decimal"/>
        </xsd:sequence>
      </xsd:complexType>
    </xsd:schema>
  </Schema>
  <Schema ID="Schema2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stock" type="xsd:string"/>
          <xsd:element name="branch" type="xsd:string"/>
          <xsd:element name="newused" type="xsd:string"/>
          <xsd:element name="category" type="xsd:string"/>
          <xsd:element name="type" type="xsd:string"/>
          <xsd:element name="regno" type="xsd:string"/>
          <xsd:element name="chassisno" type="xsd:string"/>
          <xsd:element name="make" type="xsd:string"/>
          <xsd:element name="model" type="xsd:string"/>
          <xsd:element name="deriv" type="xsd:string"/>
          <xsd:element name="year" type="xsd:string"/>
          <xsd:element name="customer" type="xsd:string"/>
          <xsd:element name="postcode" type="xsd:string"/>
          <xsd:element name="salesman" type="xsd:string"/>
          <xsd:element name="notused" type="xsd:string"/>
          <xsd:element name="consigned" type="xsd:date"/>
          <xsd:element name="invoiced" type="xsd:date"/>
          <xsd:element name="ordered" type="xsd:date"/>
          <xsd:element name="delivery" type="xsd:date"/>
          <xsd:element name="delivered" type="xsd:boolean"/>
          <xsd:element name="quantity" type="xsd:decimal"/>
          <xsd:element name="finance" type="xsd:boolean"/>
          <xsd:element name="financeco" type="xsd:string"/>
          <xsd:element name="extwarr" type="xsd:boolean"/>
          <xsd:element name="px" type="xsd:boolean"/>
          <xsd:element name="totalmargin" type="xsd:decimal"/>
          <xsd:element name="approvedmargin" type="xsd:decimal"/>
          <xsd:element name="vehiclesale" type="xsd:decimal"/>
          <xsd:element name="vehiclemargin" type="xsd:decimal"/>
          <xsd:element name="pdiprep" type="xsd:decimal"/>
          <xsd:element name="pxoverall" type="xsd:decimal"/>
          <xsd:element name="bonus" type="xsd:decimal"/>
          <xsd:element name="rflmargin" type="xsd:decimal"/>
          <xsd:element name="sundrycosts" type="xsd:decimal"/>
          <xsd:element name="othercosts" type="xsd:decimal"/>
          <xsd:element name="accessorysale" type="xsd:decimal"/>
          <xsd:element name="accessorymargin" type="xsd:decimal"/>
          <xsd:element name="writedown" type="xsd:decimal"/>
          <xsd:element name="customeremail" type="xsd:string"/>
          <xsd:element name="customernumber" type="xsd:string"/>
          <xsd:element name="warrsale" type="xsd:decimal"/>
          <xsd:element name="warrmargin" type="xsd:decimal"/>
          <xsd:element name="financemargin" type="xsd:decimal"/>
        </xsd:sequence>
      </xsd:complexType>
    </xsd:schema>
  </Schema>
  <Schema ID="Schema2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string"/>
          <xsd:element name="value" type="xsd:decimal"/>
          <xsd:element name="balance" type="xsd:decimal"/>
          <xsd:element name="notes" type="xsd:string"/>
        </xsd:sequence>
      </xsd:complexType>
    </xsd:schema>
  </Schema>
  <Schema ID="Schema2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string"/>
          <xsd:element name="value" type="xsd:decimal"/>
          <xsd:element name="balance" type="xsd:decimal"/>
          <xsd:element name="notes" type="xsd:string"/>
        </xsd:sequence>
      </xsd:complexType>
    </xsd:schema>
  </Schema>
  <Schema ID="Schema2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</xsd:sequence>
      </xsd:complexType>
    </xsd:schema>
  </Schema>
  <Schema ID="Schema2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</xsd:sequence>
      </xsd:complexType>
    </xsd:schema>
  </Schema>
  <Schema ID="Schema2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</xsd:sequence>
      </xsd:complexType>
    </xsd:schema>
  </Schema>
  <Schema ID="Schema2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</xsd:sequence>
      </xsd:complexType>
    </xsd:schema>
  </Schema>
  <Schema ID="Schema3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</xsd:sequence>
      </xsd:complexType>
    </xsd:schema>
  </Schema>
  <Schema ID="Schema3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  <xsd:element name="staffname" type="xsd:string"/>
        </xsd:sequence>
      </xsd:complexType>
    </xsd:schema>
  </Schema>
  <Schema ID="Schema3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  <xsd:element name="staffname" type="xsd:string"/>
        </xsd:sequence>
      </xsd:complexType>
    </xsd:schema>
  </Schema>
  <Schema ID="Schema3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  <xsd:element name="staffname" type="xsd:string"/>
        </xsd:sequence>
      </xsd:complexType>
    </xsd:schema>
  </Schema>
  <Schema ID="Schema3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  <xsd:element name="staffname" type="xsd:string"/>
        </xsd:sequence>
      </xsd:complexType>
    </xsd:schema>
  </Schema>
  <Schema ID="Schema3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  <xsd:element name="staffname" type="xsd:string"/>
          <xsd:element name="age" type="xsd:string"/>
        </xsd:sequence>
      </xsd:complexType>
    </xsd:schema>
  </Schema>
  <Schema ID="Schema3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  <xsd:element name="staffname" type="xsd:string"/>
          <xsd:element name="age" type="xsd:decimal"/>
        </xsd:sequence>
      </xsd:complexType>
    </xsd:schema>
  </Schema>
  <Schema ID="Schema3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  <xsd:element name="staffname" type="xsd:string"/>
          <xsd:element name="age" type="xsd:decimal"/>
        </xsd:sequence>
      </xsd:complexType>
    </xsd:schema>
  </Schema>
  <Schema ID="Schema3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  <xsd:element name="staffname" type="xsd:string"/>
          <xsd:element name="age" type="xsd:decimal"/>
        </xsd:sequence>
      </xsd:complexType>
    </xsd:schema>
  </Schema>
  <Schema ID="Schema3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  <xsd:element name="staffname" type="xsd:string"/>
          <xsd:element name="age" type="xsd:decimal"/>
        </xsd:sequence>
      </xsd:complexType>
    </xsd:schema>
  </Schema>
  <Schema ID="Schema4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  <xsd:element name="staffname" type="xsd:string"/>
          <xsd:element name="age" type="xsd:decimal"/>
        </xsd:sequence>
      </xsd:complexType>
    </xsd:schema>
  </Schema>
  <Schema ID="Schema4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  <xsd:element name="staffname" type="xsd:string"/>
          <xsd:element name="age" type="xsd:decimal"/>
        </xsd:sequence>
      </xsd:complexType>
    </xsd:schema>
  </Schema>
  <Schema ID="Schema4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accountno" type="xsd:string"/>
          <xsd:element name="name" type="xsd:string"/>
          <xsd:element name="invno" type="xsd:string"/>
          <xsd:element name="type" type="xsd:string"/>
          <xsd:element name="br" type="xsd:string"/>
          <xsd:element name="batch" type="xsd:string"/>
          <xsd:element name="payref" type="xsd:string"/>
          <xsd:element name="date" type="xsd:date"/>
          <xsd:element name="value" type="xsd:decimal"/>
          <xsd:element name="balance" type="xsd:decimal"/>
          <xsd:element name="notes" type="xsd:string"/>
          <xsd:element name="staffname" type="xsd:string"/>
          <xsd:element name="age" type="xsd:decimal"/>
        </xsd:sequence>
      </xsd:complexType>
    </xsd:schema>
  </Schema>
  <Schema ID="Schema4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ref" type="xsd:string"/>
          <xsd:element name="customer" type="xsd:string"/>
          <xsd:element name="regno" type="xsd:string"/>
          <xsd:element name="make" type="xsd:string"/>
          <xsd:element name="model" type="xsd:string"/>
          <xsd:element name="chassis" type="xsd:string"/>
          <xsd:element name="job" type="xsd:string"/>
          <xsd:element name="date" type="xsd:date"/>
          <xsd:element name="submitted" type="xsd:date"/>
          <xsd:element name="claimref" type="xsd:string"/>
          <xsd:element name="balance" type="xsd:decimal"/>
          <xsd:element name="paymentreceived" type="xsd:boolean"/>
          <xsd:element name="branch" type="xsd:string"/>
        </xsd:sequence>
      </xsd:complexType>
    </xsd:schema>
  </Schema>
  <Schema ID="Schema4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ref" type="xsd:string"/>
          <xsd:element name="customer" type="xsd:string"/>
          <xsd:element name="regno" type="xsd:string"/>
          <xsd:element name="make" type="xsd:string"/>
          <xsd:element name="model" type="xsd:string"/>
          <xsd:element name="chassis" type="xsd:string"/>
          <xsd:element name="job" type="xsd:string"/>
          <xsd:element name="date" type="xsd:date"/>
          <xsd:element name="submitted" type="xsd:date"/>
          <xsd:element name="claimref" type="xsd:string"/>
          <xsd:element name="balance" type="xsd:decimal"/>
          <xsd:element name="paymentreceived" type="xsd:boolean"/>
          <xsd:element name="branch" type="xsd:string"/>
        </xsd:sequence>
      </xsd:complexType>
    </xsd:schema>
  </Schema>
  <Schema ID="Schema4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ref" type="xsd:string"/>
          <xsd:element name="customer" type="xsd:string"/>
          <xsd:element name="regno" type="xsd:string"/>
          <xsd:element name="make" type="xsd:string"/>
          <xsd:element name="model" type="xsd:string"/>
          <xsd:element name="chassis" type="xsd:string"/>
          <xsd:element name="job" type="xsd:string"/>
          <xsd:element name="date" type="xsd:date"/>
          <xsd:element name="submitted" type="xsd:date"/>
          <xsd:element name="claimref" type="xsd:string"/>
          <xsd:element name="balance" type="xsd:decimal"/>
          <xsd:element name="paymentreceived" type="xsd:boolean"/>
          <xsd:element name="branch" type="xsd:string"/>
        </xsd:sequence>
      </xsd:complexType>
    </xsd:schema>
  </Schema>
  <Schema ID="Schema4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ref" type="xsd:string"/>
          <xsd:element name="customer" type="xsd:string"/>
          <xsd:element name="regno" type="xsd:string"/>
          <xsd:element name="make" type="xsd:string"/>
          <xsd:element name="model" type="xsd:string"/>
          <xsd:element name="chassis" type="xsd:string"/>
          <xsd:element name="job" type="xsd:string"/>
          <xsd:element name="date" type="xsd:date"/>
          <xsd:element name="submitted" type="xsd:date"/>
          <xsd:element name="claimref" type="xsd:string"/>
          <xsd:element name="balance" type="xsd:decimal"/>
          <xsd:element name="paymentreceived" type="xsd:boolean"/>
          <xsd:element name="branch" type="xsd:string"/>
        </xsd:sequence>
      </xsd:complexType>
    </xsd:schema>
  </Schema>
  <Schema ID="Schema4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ref" type="xsd:string"/>
          <xsd:element name="customer" type="xsd:string"/>
          <xsd:element name="regno" type="xsd:string"/>
          <xsd:element name="make" type="xsd:string"/>
          <xsd:element name="model" type="xsd:string"/>
          <xsd:element name="chassis" type="xsd:string"/>
          <xsd:element name="job" type="xsd:string"/>
          <xsd:element name="date" type="xsd:date"/>
          <xsd:element name="submitted" type="xsd:date"/>
          <xsd:element name="claimref" type="xsd:string"/>
          <xsd:element name="balance" type="xsd:decimal"/>
          <xsd:element name="paymentreceived" type="xsd:boolean"/>
          <xsd:element name="branch" type="xsd:string"/>
        </xsd:sequence>
      </xsd:complexType>
    </xsd:schema>
  </Schema>
  <Schema ID="Schema4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ref" type="xsd:string"/>
          <xsd:element name="customer" type="xsd:string"/>
          <xsd:element name="regno" type="xsd:string"/>
          <xsd:element name="make" type="xsd:string"/>
          <xsd:element name="model" type="xsd:string"/>
          <xsd:element name="chassis" type="xsd:string"/>
          <xsd:element name="job" type="xsd:string"/>
          <xsd:element name="date" type="xsd:date"/>
          <xsd:element name="submitted" type="xsd:date"/>
          <xsd:element name="claimref" type="xsd:string"/>
          <xsd:element name="balance" type="xsd:decimal"/>
          <xsd:element name="paymentreceived" type="xsd:boolean"/>
          <xsd:element name="branch" type="xsd:string"/>
        </xsd:sequence>
      </xsd:complexType>
    </xsd:schema>
  </Schema>
  <Schema ID="Schema4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ref" type="xsd:string"/>
          <xsd:element name="customer" type="xsd:string"/>
          <xsd:element name="regno" type="xsd:string"/>
          <xsd:element name="make" type="xsd:string"/>
          <xsd:element name="model" type="xsd:string"/>
          <xsd:element name="chassis" type="xsd:string"/>
          <xsd:element name="job" type="xsd:string"/>
          <xsd:element name="date" type="xsd:date"/>
          <xsd:element name="submitted" type="xsd:date"/>
          <xsd:element name="claimref" type="xsd:string"/>
          <xsd:element name="balance" type="xsd:decimal"/>
          <xsd:element name="paymentreceived" type="xsd:boolean"/>
          <xsd:element name="branch" type="xsd:string"/>
        </xsd:sequence>
      </xsd:complexType>
    </xsd:schema>
  </Schema>
  <Schema ID="Schema5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ref" type="xsd:string"/>
          <xsd:element name="customer" type="xsd:string"/>
          <xsd:element name="regno" type="xsd:string"/>
          <xsd:element name="make" type="xsd:string"/>
          <xsd:element name="model" type="xsd:string"/>
          <xsd:element name="chassis" type="xsd:string"/>
          <xsd:element name="job" type="xsd:string"/>
          <xsd:element name="date" type="xsd:date"/>
          <xsd:element name="submitted" type="xsd:date"/>
          <xsd:element name="claimref" type="xsd:string"/>
          <xsd:element name="balance" type="xsd:decimal"/>
          <xsd:element name="paymentreceived" type="xsd:boolean"/>
          <xsd:element name="branch" type="xsd:string"/>
        </xsd:sequence>
      </xsd:complexType>
    </xsd:schema>
  </Schema>
  <Schema ID="Schema5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ref" type="xsd:string"/>
          <xsd:element name="customer" type="xsd:string"/>
          <xsd:element name="regno" type="xsd:string"/>
          <xsd:element name="make" type="xsd:string"/>
          <xsd:element name="model" type="xsd:string"/>
          <xsd:element name="chassis" type="xsd:string"/>
          <xsd:element name="job" type="xsd:string"/>
          <xsd:element name="date" type="xsd:date"/>
          <xsd:element name="submitted" type="xsd:date"/>
          <xsd:element name="claimref" type="xsd:string"/>
          <xsd:element name="balance" type="xsd:decimal"/>
          <xsd:element name="paymentreceived" type="xsd:boolean"/>
          <xsd:element name="branch" type="xsd:string"/>
        </xsd:sequence>
      </xsd:complexType>
    </xsd:schema>
  </Schema>
  <Schema ID="Schema5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5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5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5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5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5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5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5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6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6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6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6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6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6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6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6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6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6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7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7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7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7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7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7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7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7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7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7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8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8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8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8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8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8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8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8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8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8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9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9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9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9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9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9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9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9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9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9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0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0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0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0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0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0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0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0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0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0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1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1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1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1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1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1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1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1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1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1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2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2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2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2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2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2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2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2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2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2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3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3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3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3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3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3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3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3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3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3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4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4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4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4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4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4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4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4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4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4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5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5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5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5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5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5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5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5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5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5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6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6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6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6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6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6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6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6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6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6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7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7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7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7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7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7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7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7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7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7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8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8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8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8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8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8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8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8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8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8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9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9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9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9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9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9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9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9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9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19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0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0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0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0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0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0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0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0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0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0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1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1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1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1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1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1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1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1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1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1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2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2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2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2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2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2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2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2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2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2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3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3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3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3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3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3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3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3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3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3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4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4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4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4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4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4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4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4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4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4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5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5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5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5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5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5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5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5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5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5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6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6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6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6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6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6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6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6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6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6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7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7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7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7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7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7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7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7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7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7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8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8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8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8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8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8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8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8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8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8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9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9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9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9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9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9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9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9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9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29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300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301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302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303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304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305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306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307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308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Schema ID="Schema309" Namespace="urn:reports">
    <xsd:schema xmlns:xsd="http://www.w3.org/2001/XMLSchema" xmlns:rpt="urn:reports" xmlns="" targetNamespace="urn:reports">
      <xsd:element name="reports" type="rpt:reportsForm"/>
      <xsd:complexType name="reportsForm">
        <xsd:sequence>
          <xsd:element name="report" type="rpt:reportForm" minOccurs="0" maxOccurs="unbounded"/>
        </xsd:sequence>
      </xsd:complexType>
      <xsd:complexType name="reportForm">
        <xsd:sequence>
          <xsd:element name="no" type="xsd:string"/>
          <xsd:element name="name" type="xsd:string"/>
          <xsd:element name="date" type="xsd:string"/>
          <xsd:element name="hourstaken" type="xsd:decimal"/>
          <xsd:element name="hourssold" type="xsd:decimal"/>
          <xsd:element name="laboursold" type="xsd:decimal"/>
          <xsd:element name="labourcos" type="xsd:decimal"/>
          <xsd:element name="labourprofit" type="xsd:decimal"/>
          <xsd:element name="parts" type="xsd:decimal"/>
          <xsd:element name="menudiscount" type="xsd:decimal"/>
          <xsd:element name="labourrecovery" type="xsd:decimal"/>
          <xsd:element name="effpercent" type="xsd:decimal"/>
          <xsd:element name="attendedtime" type="xsd:decimal"/>
          <xsd:element name="clockedonjobs" type="xsd:decimal"/>
          <xsd:element name="nonproductive" type="xsd:decimal"/>
          <xsd:element name="utilisationpercent" type="xsd:decimal"/>
          <xsd:element name="wipadj" type="xsd:decimal"/>
        </xsd:sequence>
      </xsd:complexType>
    </xsd:schema>
  </Schema>
  <Map ID="1" Name="reports_Map" RootElement="reports" SchemaID="Schema1" ShowImportExportValidationErrors="false" AutoFit="true" Append="false" PreserveSortAFLayout="true" PreserveFormat="true">
    <DataBinding FileBinding="true" ConnectionID="1" DataBindingLoadMode="1"/>
  </Map>
  <Map ID="2" Name="reports_Map1" RootElement="reports" SchemaID="Schema2" ShowImportExportValidationErrors="false" AutoFit="true" Append="false" PreserveSortAFLayout="true" PreserveFormat="true">
    <DataBinding FileBinding="true" ConnectionID="47" DataBindingLoadMode="1"/>
  </Map>
  <Map ID="11" Name="reports_Map10" RootElement="reports" SchemaID="Schema11" ShowImportExportValidationErrors="false" AutoFit="true" Append="false" PreserveSortAFLayout="true" PreserveFormat="true">
    <DataBinding FileBinding="true" ConnectionID="41" DataBindingLoadMode="1"/>
  </Map>
  <Map ID="188" Name="reports_Map100" RootElement="reports" SchemaID="Schema101" ShowImportExportValidationErrors="false" AutoFit="true" Append="false" PreserveSortAFLayout="true" PreserveFormat="true">
    <DataBinding FileBinding="true" ConnectionID="125" DataBindingLoadMode="1"/>
  </Map>
  <Map ID="189" Name="reports_Map101" RootElement="reports" SchemaID="Schema102" ShowImportExportValidationErrors="false" AutoFit="true" Append="false" PreserveSortAFLayout="true" PreserveFormat="true">
    <DataBinding FileBinding="true" ConnectionID="126" DataBindingLoadMode="1"/>
  </Map>
  <Map ID="190" Name="reports_Map102" RootElement="reports" SchemaID="Schema103" ShowImportExportValidationErrors="false" AutoFit="true" Append="false" PreserveSortAFLayout="true" PreserveFormat="true">
    <DataBinding FileBinding="true" ConnectionID="118" DataBindingLoadMode="1"/>
  </Map>
  <Map ID="191" Name="reports_Map103" RootElement="reports" SchemaID="Schema104" ShowImportExportValidationErrors="false" AutoFit="true" Append="false" PreserveSortAFLayout="true" PreserveFormat="true">
    <DataBinding FileBinding="true" ConnectionID="156" DataBindingLoadMode="1"/>
  </Map>
  <Map ID="289" Name="reports_Map104" RootElement="reports" SchemaID="Schema105" ShowImportExportValidationErrors="false" AutoFit="true" Append="false" PreserveSortAFLayout="true" PreserveFormat="true">
    <DataBinding FileBinding="true" ConnectionID="157" DataBindingLoadMode="1"/>
  </Map>
  <Map ID="387" Name="reports_Map105" RootElement="reports" SchemaID="Schema106" ShowImportExportValidationErrors="false" AutoFit="true" Append="false" PreserveSortAFLayout="true" PreserveFormat="true">
    <DataBinding FileBinding="true" ConnectionID="158" DataBindingLoadMode="1"/>
  </Map>
  <Map ID="485" Name="reports_Map106" RootElement="reports" SchemaID="Schema107" ShowImportExportValidationErrors="false" AutoFit="true" Append="false" PreserveSortAFLayout="true" PreserveFormat="true">
    <DataBinding FileBinding="true" ConnectionID="176" DataBindingLoadMode="1"/>
  </Map>
  <Map ID="486" Name="reports_Map107" RootElement="reports" SchemaID="Schema108" ShowImportExportValidationErrors="false" AutoFit="true" Append="false" PreserveSortAFLayout="true" PreserveFormat="true">
    <DataBinding FileBinding="true" ConnectionID="177" DataBindingLoadMode="1"/>
  </Map>
  <Map ID="584" Name="reports_Map108" RootElement="reports" SchemaID="Schema109" ShowImportExportValidationErrors="false" AutoFit="true" Append="false" PreserveSortAFLayout="true" PreserveFormat="true">
    <DataBinding FileBinding="true" ConnectionID="194" DataBindingLoadMode="1"/>
  </Map>
  <Map ID="682" Name="reports_Map109" RootElement="reports" SchemaID="Schema110" ShowImportExportValidationErrors="false" AutoFit="true" Append="false" PreserveSortAFLayout="true" PreserveFormat="true">
    <DataBinding FileBinding="true" ConnectionID="207" DataBindingLoadMode="1"/>
  </Map>
  <Map ID="12" Name="reports_Map11" RootElement="reports" SchemaID="Schema12" ShowImportExportValidationErrors="false" AutoFit="true" Append="false" PreserveSortAFLayout="true" PreserveFormat="true">
    <DataBinding FileBinding="true" ConnectionID="42" DataBindingLoadMode="1"/>
  </Map>
  <Map ID="683" Name="reports_Map110" RootElement="reports" SchemaID="Schema111" ShowImportExportValidationErrors="false" AutoFit="true" Append="false" PreserveSortAFLayout="true" PreserveFormat="true">
    <DataBinding FileBinding="true" ConnectionID="208" DataBindingLoadMode="1"/>
  </Map>
  <Map ID="684" Name="reports_Map111" RootElement="reports" SchemaID="Schema112" ShowImportExportValidationErrors="false" AutoFit="true" Append="false" PreserveSortAFLayout="true" PreserveFormat="true">
    <DataBinding FileBinding="true" ConnectionID="209" DataBindingLoadMode="1"/>
  </Map>
  <Map ID="782" Name="reports_Map112" RootElement="reports" SchemaID="Schema113" ShowImportExportValidationErrors="false" AutoFit="true" Append="false" PreserveSortAFLayout="true" PreserveFormat="true">
    <DataBinding FileBinding="true" ConnectionID="195" DataBindingLoadMode="1"/>
  </Map>
  <Map ID="783" Name="reports_Map113" RootElement="reports" SchemaID="Schema114" ShowImportExportValidationErrors="false" AutoFit="true" Append="false" PreserveSortAFLayout="true" PreserveFormat="true">
    <DataBinding FileBinding="true" ConnectionID="204" DataBindingLoadMode="1"/>
  </Map>
  <Map ID="880" Name="reports_Map114" RootElement="reports" SchemaID="Schema115" ShowImportExportValidationErrors="false" AutoFit="true" Append="false" PreserveSortAFLayout="true" PreserveFormat="true">
    <DataBinding FileBinding="true" ConnectionID="205" DataBindingLoadMode="1"/>
  </Map>
  <Map ID="881" Name="reports_Map115" RootElement="reports" SchemaID="Schema116" ShowImportExportValidationErrors="false" AutoFit="true" Append="false" PreserveSortAFLayout="true" PreserveFormat="true">
    <DataBinding FileBinding="true" ConnectionID="206" DataBindingLoadMode="1"/>
  </Map>
  <Map ID="978" Name="reports_Map116" RootElement="reports" SchemaID="Schema117" ShowImportExportValidationErrors="false" AutoFit="true" Append="false" PreserveSortAFLayout="true" PreserveFormat="true">
    <DataBinding FileBinding="true" ConnectionID="210" DataBindingLoadMode="1"/>
  </Map>
  <Map ID="1075" Name="reports_Map117" RootElement="reports" SchemaID="Schema118" ShowImportExportValidationErrors="false" AutoFit="true" Append="false" PreserveSortAFLayout="true" PreserveFormat="true">
    <DataBinding FileBinding="true" ConnectionID="211" DataBindingLoadMode="1"/>
  </Map>
  <Map ID="1172" Name="reports_Map118" RootElement="reports" SchemaID="Schema119" ShowImportExportValidationErrors="false" AutoFit="true" Append="false" PreserveSortAFLayout="true" PreserveFormat="true">
    <DataBinding FileBinding="true" ConnectionID="56" DataBindingLoadMode="1"/>
  </Map>
  <Map ID="1173" Name="reports_Map119" RootElement="reports" SchemaID="Schema120" ShowImportExportValidationErrors="false" AutoFit="true" Append="false" PreserveSortAFLayout="true" PreserveFormat="true">
    <DataBinding FileBinding="true" ConnectionID="57" DataBindingLoadMode="1"/>
  </Map>
  <Map ID="13" Name="reports_Map12" RootElement="reports" SchemaID="Schema13" ShowImportExportValidationErrors="false" AutoFit="true" Append="false" PreserveSortAFLayout="true" PreserveFormat="true">
    <DataBinding FileBinding="true" ConnectionID="43" DataBindingLoadMode="1"/>
  </Map>
  <Map ID="1174" Name="reports_Map120" RootElement="reports" SchemaID="Schema121" ShowImportExportValidationErrors="false" AutoFit="true" Append="false" PreserveSortAFLayout="true" PreserveFormat="true">
    <DataBinding FileBinding="true" ConnectionID="58" DataBindingLoadMode="1"/>
  </Map>
  <Map ID="1271" Name="reports_Map121" RootElement="reports" SchemaID="Schema122" ShowImportExportValidationErrors="false" AutoFit="true" Append="false" PreserveSortAFLayout="true" PreserveFormat="true">
    <DataBinding FileBinding="true" ConnectionID="53" DataBindingLoadMode="1"/>
  </Map>
  <Map ID="1367" Name="reports_Map122" RootElement="reports" SchemaID="Schema123" ShowImportExportValidationErrors="false" AutoFit="true" Append="false" PreserveSortAFLayout="true" PreserveFormat="true">
    <DataBinding FileBinding="true" ConnectionID="54" DataBindingLoadMode="1"/>
  </Map>
  <Map ID="1368" Name="reports_Map123" RootElement="reports" SchemaID="Schema124" ShowImportExportValidationErrors="false" AutoFit="true" Append="false" PreserveSortAFLayout="true" PreserveFormat="true">
    <DataBinding FileBinding="true" ConnectionID="55" DataBindingLoadMode="1"/>
  </Map>
  <Map ID="1464" Name="reports_Map124" RootElement="reports" SchemaID="Schema125" ShowImportExportValidationErrors="false" AutoFit="true" Append="false" PreserveSortAFLayout="true" PreserveFormat="true">
    <DataBinding FileBinding="true" ConnectionID="64" DataBindingLoadMode="1"/>
  </Map>
  <Map ID="1465" Name="reports_Map125" RootElement="reports" SchemaID="Schema126" ShowImportExportValidationErrors="false" AutoFit="true" Append="false" PreserveSortAFLayout="true" PreserveFormat="true">
    <DataBinding FileBinding="true" ConnectionID="65" DataBindingLoadMode="1"/>
  </Map>
  <Map ID="1561" Name="reports_Map126" RootElement="reports" SchemaID="Schema127" ShowImportExportValidationErrors="false" AutoFit="true" Append="false" PreserveSortAFLayout="true" PreserveFormat="true">
    <DataBinding FileBinding="true" ConnectionID="66" DataBindingLoadMode="1"/>
  </Map>
  <Map ID="1657" Name="reports_Map127" RootElement="reports" SchemaID="Schema128" ShowImportExportValidationErrors="false" AutoFit="true" Append="false" PreserveSortAFLayout="true" PreserveFormat="true">
    <DataBinding FileBinding="true" ConnectionID="67" DataBindingLoadMode="1"/>
  </Map>
  <Map ID="1753" Name="reports_Map128" RootElement="reports" SchemaID="Schema129" ShowImportExportValidationErrors="false" AutoFit="true" Append="false" PreserveSortAFLayout="true" PreserveFormat="true">
    <DataBinding FileBinding="true" ConnectionID="83" DataBindingLoadMode="1"/>
  </Map>
  <Map ID="1849" Name="reports_Map129" RootElement="reports" SchemaID="Schema130" ShowImportExportValidationErrors="false" AutoFit="true" Append="false" PreserveSortAFLayout="true" PreserveFormat="true">
    <DataBinding FileBinding="true" ConnectionID="84" DataBindingLoadMode="1"/>
  </Map>
  <Map ID="14" Name="reports_Map13" RootElement="reports" SchemaID="Schema14" ShowImportExportValidationErrors="false" AutoFit="true" Append="false" PreserveSortAFLayout="true" PreserveFormat="true">
    <DataBinding FileBinding="true" ConnectionID="44" DataBindingLoadMode="1"/>
  </Map>
  <Map ID="1945" Name="reports_Map130" RootElement="reports" SchemaID="Schema131" ShowImportExportValidationErrors="false" AutoFit="true" Append="false" PreserveSortAFLayout="true" PreserveFormat="true">
    <DataBinding FileBinding="true" ConnectionID="85" DataBindingLoadMode="1"/>
  </Map>
  <Map ID="1946" Name="reports_Map131" RootElement="reports" SchemaID="Schema132" ShowImportExportValidationErrors="false" AutoFit="true" Append="false" PreserveSortAFLayout="true" PreserveFormat="true">
    <DataBinding FileBinding="true" ConnectionID="86" DataBindingLoadMode="1"/>
  </Map>
  <Map ID="2041" Name="reports_Map132" RootElement="reports" SchemaID="Schema133" ShowImportExportValidationErrors="false" AutoFit="true" Append="false" PreserveSortAFLayout="true" PreserveFormat="true">
    <DataBinding FileBinding="true" ConnectionID="212" DataBindingLoadMode="1"/>
  </Map>
  <Map ID="2042" Name="reports_Map133" RootElement="reports" SchemaID="Schema134" ShowImportExportValidationErrors="false" AutoFit="true" Append="false" PreserveSortAFLayout="true" PreserveFormat="true">
    <DataBinding FileBinding="true" ConnectionID="288" DataBindingLoadMode="1"/>
  </Map>
  <Map ID="2043" Name="reports_Map134" RootElement="reports" SchemaID="Schema135" ShowImportExportValidationErrors="false" AutoFit="true" Append="false" PreserveSortAFLayout="true" PreserveFormat="true">
    <DataBinding FileBinding="true" ConnectionID="289" DataBindingLoadMode="1"/>
  </Map>
  <Map ID="2044" Name="reports_Map135" RootElement="reports" SchemaID="Schema136" ShowImportExportValidationErrors="false" AutoFit="true" Append="false" PreserveSortAFLayout="true" PreserveFormat="true">
    <DataBinding FileBinding="true" ConnectionID="251" DataBindingLoadMode="1"/>
  </Map>
  <Map ID="2045" Name="reports_Map136" RootElement="reports" SchemaID="Schema137" ShowImportExportValidationErrors="false" AutoFit="true" Append="false" PreserveSortAFLayout="true" PreserveFormat="true">
    <DataBinding FileBinding="true" ConnectionID="87" DataBindingLoadMode="1"/>
  </Map>
  <Map ID="2140" Name="reports_Map137" RootElement="reports" SchemaID="Schema138" ShowImportExportValidationErrors="false" AutoFit="true" Append="false" PreserveSortAFLayout="true" PreserveFormat="true">
    <DataBinding FileBinding="true" ConnectionID="88" DataBindingLoadMode="1"/>
  </Map>
  <Map ID="2235" Name="reports_Map138" RootElement="reports" SchemaID="Schema139" ShowImportExportValidationErrors="false" AutoFit="true" Append="false" PreserveSortAFLayout="true" PreserveFormat="true">
    <DataBinding FileBinding="true" ConnectionID="89" DataBindingLoadMode="1"/>
  </Map>
  <Map ID="2330" Name="reports_Map139" RootElement="reports" SchemaID="Schema140" ShowImportExportValidationErrors="false" AutoFit="true" Append="false" PreserveSortAFLayout="true" PreserveFormat="true">
    <DataBinding FileBinding="true" ConnectionID="90" DataBindingLoadMode="1"/>
  </Map>
  <Map ID="15" Name="reports_Map14" RootElement="reports" SchemaID="Schema15" ShowImportExportValidationErrors="false" AutoFit="true" Append="false" PreserveSortAFLayout="true" PreserveFormat="true">
    <DataBinding FileBinding="true" ConnectionID="45" DataBindingLoadMode="1"/>
  </Map>
  <Map ID="2331" Name="reports_Map140" RootElement="reports" SchemaID="Schema141" ShowImportExportValidationErrors="false" AutoFit="true" Append="false" PreserveSortAFLayout="true" PreserveFormat="true">
    <DataBinding FileBinding="true" ConnectionID="79" DataBindingLoadMode="1"/>
  </Map>
  <Map ID="2426" Name="reports_Map141" RootElement="reports" SchemaID="Schema142" ShowImportExportValidationErrors="false" AutoFit="true" Append="false" PreserveSortAFLayout="true" PreserveFormat="true">
    <DataBinding FileBinding="true" ConnectionID="80" DataBindingLoadMode="1"/>
  </Map>
  <Map ID="2427" Name="reports_Map142" RootElement="reports" SchemaID="Schema143" ShowImportExportValidationErrors="false" AutoFit="true" Append="false" PreserveSortAFLayout="true" PreserveFormat="true">
    <DataBinding FileBinding="true" ConnectionID="81" DataBindingLoadMode="1"/>
  </Map>
  <Map ID="2521" Name="reports_Map143" RootElement="reports" SchemaID="Schema144" ShowImportExportValidationErrors="false" AutoFit="true" Append="false" PreserveSortAFLayout="true" PreserveFormat="true">
    <DataBinding FileBinding="true" ConnectionID="82" DataBindingLoadMode="1"/>
  </Map>
  <Map ID="2522" Name="reports_Map144" RootElement="reports" SchemaID="Schema145" ShowImportExportValidationErrors="false" AutoFit="true" Append="false" PreserveSortAFLayout="true" PreserveFormat="true">
    <DataBinding FileBinding="true" ConnectionID="91" DataBindingLoadMode="1"/>
  </Map>
  <Map ID="2616" Name="reports_Map145" RootElement="reports" SchemaID="Schema146" ShowImportExportValidationErrors="false" AutoFit="true" Append="false" PreserveSortAFLayout="true" PreserveFormat="true">
    <DataBinding FileBinding="true" ConnectionID="106" DataBindingLoadMode="1"/>
  </Map>
  <Map ID="2617" Name="reports_Map146" RootElement="reports" SchemaID="Schema147" ShowImportExportValidationErrors="false" AutoFit="true" Append="false" PreserveSortAFLayout="true" PreserveFormat="true">
    <DataBinding FileBinding="true" ConnectionID="107" DataBindingLoadMode="1"/>
  </Map>
  <Map ID="2711" Name="reports_Map147" RootElement="reports" SchemaID="Schema148" ShowImportExportValidationErrors="false" AutoFit="true" Append="false" PreserveSortAFLayout="true" PreserveFormat="true">
    <DataBinding FileBinding="true" ConnectionID="108" DataBindingLoadMode="1"/>
  </Map>
  <Map ID="2805" Name="reports_Map148" RootElement="reports" SchemaID="Schema149" ShowImportExportValidationErrors="false" AutoFit="true" Append="false" PreserveSortAFLayout="true" PreserveFormat="true">
    <DataBinding FileBinding="true" ConnectionID="109" DataBindingLoadMode="1"/>
  </Map>
  <Map ID="2899" Name="reports_Map149" RootElement="reports" SchemaID="Schema150" ShowImportExportValidationErrors="false" AutoFit="true" Append="false" PreserveSortAFLayout="true" PreserveFormat="true">
    <DataBinding FileBinding="true" ConnectionID="141" DataBindingLoadMode="1"/>
  </Map>
  <Map ID="16" Name="reports_Map15" RootElement="reports" SchemaID="Schema16" ShowImportExportValidationErrors="false" AutoFit="true" Append="false" PreserveSortAFLayout="true" PreserveFormat="true">
    <DataBinding FileBinding="true" ConnectionID="46" DataBindingLoadMode="1"/>
  </Map>
  <Map ID="2900" Name="reports_Map150" RootElement="reports" SchemaID="Schema151" ShowImportExportValidationErrors="false" AutoFit="true" Append="false" PreserveSortAFLayout="true" PreserveFormat="true">
    <DataBinding FileBinding="true" ConnectionID="142" DataBindingLoadMode="1"/>
  </Map>
  <Map ID="2994" Name="reports_Map151" RootElement="reports" SchemaID="Schema152" ShowImportExportValidationErrors="false" AutoFit="true" Append="false" PreserveSortAFLayout="true" PreserveFormat="true">
    <DataBinding FileBinding="true" ConnectionID="145" DataBindingLoadMode="1"/>
  </Map>
  <Map ID="3087" Name="reports_Map152" RootElement="reports" SchemaID="Schema153" ShowImportExportValidationErrors="false" AutoFit="true" Append="false" PreserveSortAFLayout="true" PreserveFormat="true">
    <DataBinding FileBinding="true" ConnectionID="127" DataBindingLoadMode="1"/>
  </Map>
  <Map ID="3180" Name="reports_Map153" RootElement="reports" SchemaID="Schema154" ShowImportExportValidationErrors="false" AutoFit="true" Append="false" PreserveSortAFLayout="true" PreserveFormat="true">
    <DataBinding FileBinding="true" ConnectionID="128" DataBindingLoadMode="1"/>
  </Map>
  <Map ID="3273" Name="reports_Map154" RootElement="reports" SchemaID="Schema155" ShowImportExportValidationErrors="false" AutoFit="true" Append="false" PreserveSortAFLayout="true" PreserveFormat="true">
    <DataBinding FileBinding="true" ConnectionID="252" DataBindingLoadMode="1"/>
  </Map>
  <Map ID="3274" Name="reports_Map155" RootElement="reports" SchemaID="Schema156" ShowImportExportValidationErrors="false" AutoFit="true" Append="false" PreserveSortAFLayout="true" PreserveFormat="true">
    <DataBinding FileBinding="true" ConnectionID="253" DataBindingLoadMode="1"/>
  </Map>
  <Map ID="3275" Name="reports_Map156" RootElement="reports" SchemaID="Schema157" ShowImportExportValidationErrors="false" AutoFit="true" Append="false" PreserveSortAFLayout="true" PreserveFormat="true">
    <DataBinding FileBinding="true" ConnectionID="261" DataBindingLoadMode="1"/>
  </Map>
  <Map ID="3276" Name="reports_Map157" RootElement="reports" SchemaID="Schema158" ShowImportExportValidationErrors="false" AutoFit="true" Append="false" PreserveSortAFLayout="true" PreserveFormat="true">
    <DataBinding FileBinding="true" ConnectionID="265" DataBindingLoadMode="1"/>
  </Map>
  <Map ID="3277" Name="reports_Map158" RootElement="reports" SchemaID="Schema159" ShowImportExportValidationErrors="false" AutoFit="true" Append="false" PreserveSortAFLayout="true" PreserveFormat="true">
    <DataBinding FileBinding="true" ConnectionID="266" DataBindingLoadMode="1"/>
  </Map>
  <Map ID="3278" Name="reports_Map159" RootElement="reports" SchemaID="Schema160" ShowImportExportValidationErrors="false" AutoFit="true" Append="false" PreserveSortAFLayout="true" PreserveFormat="true">
    <DataBinding FileBinding="true" ConnectionID="275" DataBindingLoadMode="1"/>
  </Map>
  <Map ID="17" Name="reports_Map16" RootElement="reports" SchemaID="Schema17" ShowImportExportValidationErrors="false" AutoFit="true" Append="false" PreserveSortAFLayout="true" PreserveFormat="true">
    <DataBinding FileBinding="true" ConnectionID="34" DataBindingLoadMode="1"/>
  </Map>
  <Map ID="3279" Name="reports_Map160" RootElement="reports" SchemaID="Schema161" ShowImportExportValidationErrors="false" AutoFit="true" Append="false" PreserveSortAFLayout="true" PreserveFormat="true">
    <DataBinding FileBinding="true" ConnectionID="276" DataBindingLoadMode="1"/>
  </Map>
  <Map ID="3372" Name="reports_Map161" RootElement="reports" SchemaID="Schema162" ShowImportExportValidationErrors="false" AutoFit="true" Append="false" PreserveSortAFLayout="true" PreserveFormat="true">
    <DataBinding FileBinding="true" ConnectionID="279" DataBindingLoadMode="1"/>
  </Map>
  <Map ID="3373" Name="reports_Map162" RootElement="reports" SchemaID="Schema163" ShowImportExportValidationErrors="false" AutoFit="true" Append="false" PreserveSortAFLayout="true" PreserveFormat="true">
    <DataBinding FileBinding="true" ConnectionID="129" DataBindingLoadMode="1"/>
  </Map>
  <Map ID="3374" Name="reports_Map163" RootElement="reports" SchemaID="Schema164" ShowImportExportValidationErrors="false" AutoFit="true" Append="false" PreserveSortAFLayout="true" PreserveFormat="true">
    <DataBinding FileBinding="true" ConnectionID="130" DataBindingLoadMode="1"/>
  </Map>
  <Map ID="3375" Name="reports_Map164" RootElement="reports" SchemaID="Schema165" ShowImportExportValidationErrors="false" AutoFit="true" Append="false" PreserveSortAFLayout="true" PreserveFormat="true">
    <DataBinding FileBinding="true" ConnectionID="280" DataBindingLoadMode="1"/>
  </Map>
  <Map ID="3376" Name="reports_Map165" RootElement="reports" SchemaID="Schema166" ShowImportExportValidationErrors="false" AutoFit="true" Append="false" PreserveSortAFLayout="true" PreserveFormat="true">
    <DataBinding FileBinding="true" ConnectionID="131" DataBindingLoadMode="1"/>
  </Map>
  <Map ID="3377" Name="reports_Map166" RootElement="reports" SchemaID="Schema167" ShowImportExportValidationErrors="false" AutoFit="true" Append="false" PreserveSortAFLayout="true" PreserveFormat="true">
    <DataBinding FileBinding="true" ConnectionID="281" DataBindingLoadMode="1"/>
  </Map>
  <Map ID="3378" Name="reports_Map167" RootElement="reports" SchemaID="Schema168" ShowImportExportValidationErrors="false" AutoFit="true" Append="false" PreserveSortAFLayout="true" PreserveFormat="true">
    <DataBinding FileBinding="true" ConnectionID="282" DataBindingLoadMode="1"/>
  </Map>
  <Map ID="3379" Name="reports_Map168" RootElement="reports" SchemaID="Schema169" ShowImportExportValidationErrors="false" AutoFit="true" Append="false" PreserveSortAFLayout="true" PreserveFormat="true">
    <DataBinding FileBinding="true" ConnectionID="283" DataBindingLoadMode="1"/>
  </Map>
  <Map ID="3471" Name="reports_Map169" RootElement="reports" SchemaID="Schema170" ShowImportExportValidationErrors="false" AutoFit="true" Append="false" PreserveSortAFLayout="true" PreserveFormat="true">
    <DataBinding FileBinding="true" ConnectionID="284" DataBindingLoadMode="1"/>
  </Map>
  <Map ID="18" Name="reports_Map17" RootElement="reports" SchemaID="Schema18" ShowImportExportValidationErrors="false" AutoFit="true" Append="false" PreserveSortAFLayout="true" PreserveFormat="true">
    <DataBinding FileBinding="true" ConnectionID="35" DataBindingLoadMode="1"/>
  </Map>
  <Map ID="3472" Name="reports_Map170" RootElement="reports" SchemaID="Schema171" ShowImportExportValidationErrors="false" AutoFit="true" Append="false" PreserveSortAFLayout="true" PreserveFormat="true">
    <DataBinding FileBinding="true" ConnectionID="132" DataBindingLoadMode="1"/>
  </Map>
  <Map ID="3473" Name="reports_Map171" RootElement="reports" SchemaID="Schema172" ShowImportExportValidationErrors="false" AutoFit="true" Append="false" PreserveSortAFLayout="true" PreserveFormat="true">
    <DataBinding FileBinding="true" ConnectionID="133" DataBindingLoadMode="1"/>
  </Map>
  <Map ID="3565" Name="reports_Map172" RootElement="reports" SchemaID="Schema173" ShowImportExportValidationErrors="false" AutoFit="true" Append="false" PreserveSortAFLayout="true" PreserveFormat="true">
    <DataBinding FileBinding="true" ConnectionID="290" DataBindingLoadMode="1"/>
  </Map>
  <Map ID="3566" Name="reports_Map173" RootElement="reports" SchemaID="Schema174" ShowImportExportValidationErrors="false" AutoFit="true" Append="false" PreserveSortAFLayout="true" PreserveFormat="true">
    <DataBinding FileBinding="true" ConnectionID="134" DataBindingLoadMode="1"/>
  </Map>
  <Map ID="3657" Name="reports_Map174" RootElement="reports" SchemaID="Schema175" ShowImportExportValidationErrors="false" AutoFit="true" Append="false" PreserveSortAFLayout="true" PreserveFormat="true">
    <DataBinding FileBinding="true" ConnectionID="135" DataBindingLoadMode="1"/>
  </Map>
  <Map ID="3658" Name="reports_Map175" RootElement="reports" SchemaID="Schema176" ShowImportExportValidationErrors="false" AutoFit="true" Append="false" PreserveSortAFLayout="true" PreserveFormat="true">
    <DataBinding FileBinding="true" ConnectionID="298" DataBindingLoadMode="1"/>
  </Map>
  <Map ID="3749" Name="reports_Map176" RootElement="reports" SchemaID="Schema177" ShowImportExportValidationErrors="false" AutoFit="true" Append="false" PreserveSortAFLayout="true" PreserveFormat="true">
    <DataBinding FileBinding="true" ConnectionID="299" DataBindingLoadMode="1"/>
  </Map>
  <Map ID="3750" Name="reports_Map177" RootElement="reports" SchemaID="Schema178" ShowImportExportValidationErrors="false" AutoFit="true" Append="false" PreserveSortAFLayout="true" PreserveFormat="true">
    <DataBinding FileBinding="true" ConnectionID="300" DataBindingLoadMode="1"/>
  </Map>
  <Map ID="3751" Name="reports_Map178" RootElement="reports" SchemaID="Schema179" ShowImportExportValidationErrors="false" AutoFit="true" Append="false" PreserveSortAFLayout="true" PreserveFormat="true">
    <DataBinding FileBinding="true" ConnectionID="301" DataBindingLoadMode="1"/>
  </Map>
  <Map ID="3752" Name="reports_Map179" RootElement="reports" SchemaID="Schema180" ShowImportExportValidationErrors="false" AutoFit="true" Append="false" PreserveSortAFLayout="true" PreserveFormat="true">
    <DataBinding FileBinding="true" ConnectionID="136" DataBindingLoadMode="1"/>
  </Map>
  <Map ID="27" Name="reports_Map18" RootElement="reports" SchemaID="Schema19" ShowImportExportValidationErrors="false" AutoFit="true" Append="false" PreserveSortAFLayout="true" PreserveFormat="true">
    <DataBinding FileBinding="true" ConnectionID="36" DataBindingLoadMode="1"/>
  </Map>
  <Map ID="3753" Name="reports_Map180" RootElement="reports" SchemaID="Schema181" ShowImportExportValidationErrors="false" AutoFit="true" Append="false" PreserveSortAFLayout="true" PreserveFormat="true">
    <DataBinding FileBinding="true" ConnectionID="137" DataBindingLoadMode="1"/>
  </Map>
  <Map ID="3754" Name="reports_Map181" RootElement="reports" SchemaID="Schema182" ShowImportExportValidationErrors="false" AutoFit="true" Append="false" PreserveSortAFLayout="true" PreserveFormat="true">
    <DataBinding FileBinding="true" ConnectionID="138" DataBindingLoadMode="1"/>
  </Map>
  <Map ID="3845" Name="reports_Map182" RootElement="reports" SchemaID="Schema183" ShowImportExportValidationErrors="false" AutoFit="true" Append="false" PreserveSortAFLayout="true" PreserveFormat="true">
    <DataBinding FileBinding="true" ConnectionID="139" DataBindingLoadMode="1"/>
  </Map>
  <Map ID="3846" Name="reports_Map183" RootElement="reports" SchemaID="Schema184" ShowImportExportValidationErrors="false" AutoFit="true" Append="false" PreserveSortAFLayout="true" PreserveFormat="true">
    <DataBinding FileBinding="true" ConnectionID="140" DataBindingLoadMode="1"/>
  </Map>
  <Map ID="3847" Name="reports_Map184" RootElement="reports" SchemaID="Schema185" ShowImportExportValidationErrors="false" AutoFit="true" Append="false" PreserveSortAFLayout="true" PreserveFormat="true">
    <DataBinding FileBinding="true" ConnectionID="302" DataBindingLoadMode="1"/>
  </Map>
  <Map ID="3848" Name="reports_Map185" RootElement="reports" SchemaID="Schema186" ShowImportExportValidationErrors="false" AutoFit="true" Append="false" PreserveSortAFLayout="true" PreserveFormat="true">
    <DataBinding FileBinding="true" ConnectionID="303" DataBindingLoadMode="1"/>
  </Map>
  <Map ID="3849" Name="reports_Map186" RootElement="reports" SchemaID="Schema187" ShowImportExportValidationErrors="false" AutoFit="true" Append="false" PreserveSortAFLayout="true" PreserveFormat="true">
    <DataBinding FileBinding="true" ConnectionID="304" DataBindingLoadMode="1"/>
  </Map>
  <Map ID="3850" Name="reports_Map187" RootElement="reports" SchemaID="Schema188" ShowImportExportValidationErrors="false" AutoFit="true" Append="false" PreserveSortAFLayout="true" PreserveFormat="true">
    <DataBinding FileBinding="true" ConnectionID="305" DataBindingLoadMode="1"/>
  </Map>
  <Map ID="3851" Name="reports_Map188" RootElement="reports" SchemaID="Schema189" ShowImportExportValidationErrors="false" AutoFit="true" Append="false" PreserveSortAFLayout="true" PreserveFormat="true">
    <DataBinding FileBinding="true" ConnectionID="306" DataBindingLoadMode="1"/>
  </Map>
  <Map ID="3852" Name="reports_Map189" RootElement="reports" SchemaID="Schema190" ShowImportExportValidationErrors="false" AutoFit="true" Append="false" PreserveSortAFLayout="true" PreserveFormat="true">
    <DataBinding FileBinding="true" ConnectionID="307" DataBindingLoadMode="1"/>
  </Map>
  <Map ID="28" Name="reports_Map19" RootElement="reports" SchemaID="Schema20" ShowImportExportValidationErrors="false" AutoFit="true" Append="false" PreserveSortAFLayout="true" PreserveFormat="true">
    <DataBinding FileBinding="true" ConnectionID="37" DataBindingLoadMode="1"/>
  </Map>
  <Map ID="3853" Name="reports_Map190" RootElement="reports" SchemaID="Schema191" ShowImportExportValidationErrors="false" AutoFit="true" Append="false" PreserveSortAFLayout="true" PreserveFormat="true">
    <DataBinding FileBinding="true" ConnectionID="308" DataBindingLoadMode="1"/>
  </Map>
  <Map ID="3854" Name="reports_Map191" RootElement="reports" SchemaID="Schema192" ShowImportExportValidationErrors="false" AutoFit="true" Append="false" PreserveSortAFLayout="true" PreserveFormat="true">
    <DataBinding FileBinding="true" ConnectionID="309" DataBindingLoadMode="1"/>
  </Map>
  <Map ID="3855" Name="reports_Map192" RootElement="reports" SchemaID="Schema193" ShowImportExportValidationErrors="false" AutoFit="true" Append="false" PreserveSortAFLayout="true" PreserveFormat="true">
    <DataBinding FileBinding="true" ConnectionID="146" DataBindingLoadMode="1"/>
  </Map>
  <Map ID="3856" Name="reports_Map193" RootElement="reports" SchemaID="Schema194" ShowImportExportValidationErrors="false" AutoFit="true" Append="false" PreserveSortAFLayout="true" PreserveFormat="true">
    <DataBinding FileBinding="true" ConnectionID="147" DataBindingLoadMode="1"/>
  </Map>
  <Map ID="3857" Name="reports_Map194" RootElement="reports" SchemaID="Schema195" ShowImportExportValidationErrors="false" AutoFit="true" Append="false" PreserveSortAFLayout="true" PreserveFormat="true">
    <DataBinding FileBinding="true" ConnectionID="148" DataBindingLoadMode="1"/>
  </Map>
  <Map ID="3858" Name="reports_Map195" RootElement="reports" SchemaID="Schema196" ShowImportExportValidationErrors="false" AutoFit="true" Append="false" PreserveSortAFLayout="true" PreserveFormat="true">
    <DataBinding FileBinding="true" ConnectionID="149" DataBindingLoadMode="1"/>
  </Map>
  <Map ID="3948" Name="reports_Map196" RootElement="reports" SchemaID="Schema197" ShowImportExportValidationErrors="false" AutoFit="true" Append="false" PreserveSortAFLayout="true" PreserveFormat="true">
    <DataBinding FileBinding="true" ConnectionID="150" DataBindingLoadMode="1"/>
  </Map>
  <Map ID="4037" Name="reports_Map197" RootElement="reports" SchemaID="Schema198" ShowImportExportValidationErrors="false" AutoFit="true" Append="false" PreserveSortAFLayout="true" PreserveFormat="true">
    <DataBinding FileBinding="true" ConnectionID="151" DataBindingLoadMode="1"/>
  </Map>
  <Map ID="4038" Name="reports_Map198" RootElement="reports" SchemaID="Schema199" ShowImportExportValidationErrors="false" AutoFit="true" Append="false" PreserveSortAFLayout="true" PreserveFormat="true">
    <DataBinding FileBinding="true" ConnectionID="152" DataBindingLoadMode="1"/>
  </Map>
  <Map ID="4039" Name="reports_Map199" RootElement="reports" SchemaID="Schema200" ShowImportExportValidationErrors="false" AutoFit="true" Append="false" PreserveSortAFLayout="true" PreserveFormat="true">
    <DataBinding FileBinding="true" ConnectionID="143" DataBindingLoadMode="1"/>
  </Map>
  <Map ID="3" Name="reports_Map2" RootElement="reports" SchemaID="Schema3" ShowImportExportValidationErrors="false" AutoFit="true" Append="false" PreserveSortAFLayout="true" PreserveFormat="true">
    <DataBinding FileBinding="true" ConnectionID="48" DataBindingLoadMode="1"/>
  </Map>
  <Map ID="29" Name="reports_Map20" RootElement="reports" SchemaID="Schema21" ShowImportExportValidationErrors="false" AutoFit="true" Append="false" PreserveSortAFLayout="true" PreserveFormat="true">
    <DataBinding FileBinding="true" ConnectionID="38" DataBindingLoadMode="1"/>
  </Map>
  <Map ID="4040" Name="reports_Map200" RootElement="reports" SchemaID="Schema201" ShowImportExportValidationErrors="false" AutoFit="true" Append="false" PreserveSortAFLayout="true" PreserveFormat="true">
    <DataBinding FileBinding="true" ConnectionID="144" DataBindingLoadMode="1"/>
  </Map>
  <Map ID="4129" Name="reports_Map201" RootElement="reports" SchemaID="Schema202" ShowImportExportValidationErrors="false" AutoFit="true" Append="false" PreserveSortAFLayout="true" PreserveFormat="true">
    <DataBinding FileBinding="true" ConnectionID="165" DataBindingLoadMode="1"/>
  </Map>
  <Map ID="4130" Name="reports_Map202" RootElement="reports" SchemaID="Schema203" ShowImportExportValidationErrors="false" AutoFit="true" Append="false" PreserveSortAFLayout="true" PreserveFormat="true">
    <DataBinding FileBinding="true" ConnectionID="166" DataBindingLoadMode="1"/>
  </Map>
  <Map ID="4131" Name="reports_Map203" RootElement="reports" SchemaID="Schema204" ShowImportExportValidationErrors="false" AutoFit="true" Append="false" PreserveSortAFLayout="true" PreserveFormat="true">
    <DataBinding FileBinding="true" ConnectionID="168" DataBindingLoadMode="1"/>
  </Map>
  <Map ID="4132" Name="reports_Map204" RootElement="reports" SchemaID="Schema205" ShowImportExportValidationErrors="false" AutoFit="true" Append="false" PreserveSortAFLayout="true" PreserveFormat="true">
    <DataBinding FileBinding="true" ConnectionID="169" DataBindingLoadMode="1"/>
  </Map>
  <Map ID="4133" Name="reports_Map205" RootElement="reports" SchemaID="Schema206" ShowImportExportValidationErrors="false" AutoFit="true" Append="false" PreserveSortAFLayout="true" PreserveFormat="true">
    <DataBinding FileBinding="true" ConnectionID="170" DataBindingLoadMode="1"/>
  </Map>
  <Map ID="4220" Name="reports_Map206" RootElement="reports" SchemaID="Schema207" ShowImportExportValidationErrors="false" AutoFit="true" Append="false" PreserveSortAFLayout="true" PreserveFormat="true">
    <DataBinding FileBinding="true" ConnectionID="171" DataBindingLoadMode="1"/>
  </Map>
  <Map ID="4307" Name="reports_Map207" RootElement="reports" SchemaID="Schema208" ShowImportExportValidationErrors="false" AutoFit="true" Append="false" PreserveSortAFLayout="true" PreserveFormat="true">
    <DataBinding FileBinding="true" ConnectionID="172" DataBindingLoadMode="1"/>
  </Map>
  <Map ID="4394" Name="reports_Map208" RootElement="reports" SchemaID="Schema209" ShowImportExportValidationErrors="false" AutoFit="true" Append="false" PreserveSortAFLayout="true" PreserveFormat="true">
    <DataBinding FileBinding="true" ConnectionID="173" DataBindingLoadMode="1"/>
  </Map>
  <Map ID="4395" Name="reports_Map209" RootElement="reports" SchemaID="Schema210" ShowImportExportValidationErrors="false" AutoFit="true" Append="false" PreserveSortAFLayout="true" PreserveFormat="true">
    <DataBinding FileBinding="true" ConnectionID="174" DataBindingLoadMode="1"/>
  </Map>
  <Map ID="30" Name="reports_Map21" RootElement="reports" SchemaID="Schema22" ShowImportExportValidationErrors="false" AutoFit="true" Append="false" PreserveSortAFLayout="true" PreserveFormat="true">
    <DataBinding FileBinding="true" ConnectionID="22" DataBindingLoadMode="1"/>
  </Map>
  <Map ID="4482" Name="reports_Map210" RootElement="reports" SchemaID="Schema211" ShowImportExportValidationErrors="false" AutoFit="true" Append="false" PreserveSortAFLayout="true" PreserveFormat="true">
    <DataBinding FileBinding="true" ConnectionID="230" DataBindingLoadMode="1"/>
  </Map>
  <Map ID="4483" Name="reports_Map211" RootElement="reports" SchemaID="Schema212" ShowImportExportValidationErrors="false" AutoFit="true" Append="false" PreserveSortAFLayout="true" PreserveFormat="true">
    <DataBinding FileBinding="true" ConnectionID="241" DataBindingLoadMode="1"/>
  </Map>
  <Map ID="4484" Name="reports_Map212" RootElement="reports" SchemaID="Schema213" ShowImportExportValidationErrors="false" AutoFit="true" Append="false" PreserveSortAFLayout="true" PreserveFormat="true">
    <DataBinding FileBinding="true" ConnectionID="243" DataBindingLoadMode="1"/>
  </Map>
  <Map ID="4485" Name="reports_Map213" RootElement="reports" SchemaID="Schema214" ShowImportExportValidationErrors="false" AutoFit="true" Append="false" PreserveSortAFLayout="true" PreserveFormat="true">
    <DataBinding FileBinding="true" ConnectionID="244" DataBindingLoadMode="1"/>
  </Map>
  <Map ID="4571" Name="reports_Map214" RootElement="reports" SchemaID="Schema215" ShowImportExportValidationErrors="false" AutoFit="true" Append="false" PreserveSortAFLayout="true" PreserveFormat="true">
    <DataBinding FileBinding="true" ConnectionID="245" DataBindingLoadMode="1"/>
  </Map>
  <Map ID="4572" Name="reports_Map215" RootElement="reports" SchemaID="Schema216" ShowImportExportValidationErrors="false" AutoFit="true" Append="false" PreserveSortAFLayout="true" PreserveFormat="true">
    <DataBinding FileBinding="true" ConnectionID="159" DataBindingLoadMode="1"/>
  </Map>
  <Map ID="4573" Name="reports_Map216" RootElement="reports" SchemaID="Schema217" ShowImportExportValidationErrors="false" AutoFit="true" Append="false" PreserveSortAFLayout="true" PreserveFormat="true">
    <DataBinding FileBinding="true" ConnectionID="231" DataBindingLoadMode="1"/>
  </Map>
  <Map ID="4574" Name="reports_Map217" RootElement="reports" SchemaID="Schema218" ShowImportExportValidationErrors="false" AutoFit="true" Append="false" PreserveSortAFLayout="true" PreserveFormat="true">
    <DataBinding FileBinding="true" ConnectionID="277" DataBindingLoadMode="1"/>
  </Map>
  <Map ID="4575" Name="reports_Map218" RootElement="reports" SchemaID="Schema219" ShowImportExportValidationErrors="false" AutoFit="true" Append="false" PreserveSortAFLayout="true" PreserveFormat="true">
    <DataBinding FileBinding="true" ConnectionID="271" DataBindingLoadMode="1"/>
  </Map>
  <Map ID="4576" Name="reports_Map219" RootElement="reports" SchemaID="Schema220" ShowImportExportValidationErrors="false" AutoFit="true" Append="false" PreserveSortAFLayout="true" PreserveFormat="true">
    <DataBinding FileBinding="true" ConnectionID="272" DataBindingLoadMode="1"/>
  </Map>
  <Map ID="31" Name="reports_Map22" RootElement="reports" SchemaID="Schema23" ShowImportExportValidationErrors="false" AutoFit="true" Append="false" PreserveSortAFLayout="true" PreserveFormat="true">
    <DataBinding FileBinding="true" ConnectionID="21" DataBindingLoadMode="1"/>
  </Map>
  <Map ID="4577" Name="reports_Map220" RootElement="reports" SchemaID="Schema221" ShowImportExportValidationErrors="false" AutoFit="true" Append="false" PreserveSortAFLayout="true" PreserveFormat="true">
    <DataBinding FileBinding="true" ConnectionID="273" DataBindingLoadMode="1"/>
  </Map>
  <Map ID="4663" Name="reports_Map221" RootElement="reports" SchemaID="Schema222" ShowImportExportValidationErrors="false" AutoFit="true" Append="false" PreserveSortAFLayout="true" PreserveFormat="true">
    <DataBinding FileBinding="true" ConnectionID="274" DataBindingLoadMode="1"/>
  </Map>
  <Map ID="4664" Name="reports_Map222" RootElement="reports" SchemaID="Schema223" ShowImportExportValidationErrors="false" AutoFit="true" Append="false" PreserveSortAFLayout="true" PreserveFormat="true">
    <DataBinding FileBinding="true" ConnectionID="175" DataBindingLoadMode="1"/>
  </Map>
  <Map ID="4749" Name="reports_Map223" RootElement="reports" SchemaID="Schema224" ShowImportExportValidationErrors="false" AutoFit="true" Append="false" PreserveSortAFLayout="true" PreserveFormat="true">
    <DataBinding FileBinding="true" ConnectionID="167" DataBindingLoadMode="1"/>
  </Map>
  <Map ID="4750" Name="reports_Map224" RootElement="reports" SchemaID="Schema225" ShowImportExportValidationErrors="false" AutoFit="true" Append="false" PreserveSortAFLayout="true" PreserveFormat="true">
    <DataBinding FileBinding="true" ConnectionID="160" DataBindingLoadMode="1"/>
  </Map>
  <Map ID="4751" Name="reports_Map225" RootElement="reports" SchemaID="Schema226" ShowImportExportValidationErrors="false" AutoFit="true" Append="false" PreserveSortAFLayout="true" PreserveFormat="true">
    <DataBinding FileBinding="true" ConnectionID="153" DataBindingLoadMode="1"/>
  </Map>
  <Map ID="4752" Name="reports_Map226" RootElement="reports" SchemaID="Schema227" ShowImportExportValidationErrors="false" AutoFit="true" Append="false" PreserveSortAFLayout="true" PreserveFormat="true">
    <DataBinding FileBinding="true" ConnectionID="161" DataBindingLoadMode="1"/>
  </Map>
  <Map ID="4753" Name="reports_Map227" RootElement="reports" SchemaID="Schema228" ShowImportExportValidationErrors="false" AutoFit="true" Append="false" PreserveSortAFLayout="true" PreserveFormat="true">
    <DataBinding FileBinding="true" ConnectionID="154" DataBindingLoadMode="1"/>
  </Map>
  <Map ID="4754" Name="reports_Map228" RootElement="reports" SchemaID="Schema229" ShowImportExportValidationErrors="false" AutoFit="true" Append="false" PreserveSortAFLayout="true" PreserveFormat="true">
    <DataBinding FileBinding="true" ConnectionID="162" DataBindingLoadMode="1"/>
  </Map>
  <Map ID="4755" Name="reports_Map229" RootElement="reports" SchemaID="Schema230" ShowImportExportValidationErrors="false" AutoFit="true" Append="false" PreserveSortAFLayout="true" PreserveFormat="true">
    <DataBinding FileBinding="true" ConnectionID="155" DataBindingLoadMode="1"/>
  </Map>
  <Map ID="40" Name="reports_Map23" RootElement="reports" SchemaID="Schema24" ShowImportExportValidationErrors="false" AutoFit="true" Append="false" PreserveSortAFLayout="true" PreserveFormat="true">
    <DataBinding FileBinding="true" ConnectionID="2" DataBindingLoadMode="1"/>
  </Map>
  <Map ID="4756" Name="reports_Map230" RootElement="reports" SchemaID="Schema231" ShowImportExportValidationErrors="false" AutoFit="true" Append="false" PreserveSortAFLayout="true" PreserveFormat="true">
    <DataBinding FileBinding="true" ConnectionID="163" DataBindingLoadMode="1"/>
  </Map>
  <Map ID="4757" Name="reports_Map231" RootElement="reports" SchemaID="Schema232" ShowImportExportValidationErrors="false" AutoFit="true" Append="false" PreserveSortAFLayout="true" PreserveFormat="true">
    <DataBinding FileBinding="true" ConnectionID="164" DataBindingLoadMode="1"/>
  </Map>
  <Map ID="4842" Name="reports_Map232" RootElement="reports" SchemaID="Schema233" ShowImportExportValidationErrors="false" AutoFit="true" Append="false" PreserveSortAFLayout="true" PreserveFormat="true">
    <DataBinding FileBinding="true" ConnectionID="190" DataBindingLoadMode="1"/>
  </Map>
  <Map ID="4926" Name="reports_Map233" RootElement="reports" SchemaID="Schema234" ShowImportExportValidationErrors="false" AutoFit="true" Append="false" PreserveSortAFLayout="true" PreserveFormat="true">
    <DataBinding FileBinding="true" ConnectionID="179" DataBindingLoadMode="1"/>
  </Map>
  <Map ID="4927" Name="reports_Map234" RootElement="reports" SchemaID="Schema235" ShowImportExportValidationErrors="false" AutoFit="true" Append="false" PreserveSortAFLayout="true" PreserveFormat="true">
    <DataBinding FileBinding="true" ConnectionID="178" DataBindingLoadMode="1"/>
  </Map>
  <Map ID="4928" Name="reports_Map235" RootElement="reports" SchemaID="Schema236" ShowImportExportValidationErrors="false" AutoFit="true" Append="false" PreserveSortAFLayout="true" PreserveFormat="true">
    <DataBinding FileBinding="true" ConnectionID="213" DataBindingLoadMode="1"/>
  </Map>
  <Map ID="4929" Name="reports_Map236" RootElement="reports" SchemaID="Schema237" ShowImportExportValidationErrors="false" AutoFit="true" Append="false" PreserveSortAFLayout="true" PreserveFormat="true">
    <DataBinding FileBinding="true" ConnectionID="214" DataBindingLoadMode="1"/>
  </Map>
  <Map ID="4930" Name="reports_Map237" RootElement="reports" SchemaID="Schema238" ShowImportExportValidationErrors="false" AutoFit="true" Append="false" PreserveSortAFLayout="true" PreserveFormat="true">
    <DataBinding FileBinding="true" ConnectionID="215" DataBindingLoadMode="1"/>
  </Map>
  <Map ID="4931" Name="reports_Map238" RootElement="reports" SchemaID="Schema239" ShowImportExportValidationErrors="false" AutoFit="true" Append="false" PreserveSortAFLayout="true" PreserveFormat="true">
    <DataBinding FileBinding="true" ConnectionID="217" DataBindingLoadMode="1"/>
  </Map>
  <Map ID="4932" Name="reports_Map239" RootElement="reports" SchemaID="Schema240" ShowImportExportValidationErrors="false" AutoFit="true" Append="false" PreserveSortAFLayout="true" PreserveFormat="true">
    <DataBinding FileBinding="true" ConnectionID="219" DataBindingLoadMode="1"/>
  </Map>
  <Map ID="41" Name="reports_Map24" RootElement="reports" SchemaID="Schema25" ShowImportExportValidationErrors="false" AutoFit="true" Append="false" PreserveSortAFLayout="true" PreserveFormat="true">
    <DataBinding FileBinding="true" ConnectionID="3" DataBindingLoadMode="1"/>
  </Map>
  <Map ID="4933" Name="reports_Map240" RootElement="reports" SchemaID="Schema241" ShowImportExportValidationErrors="false" AutoFit="true" Append="false" PreserveSortAFLayout="true" PreserveFormat="true">
    <DataBinding FileBinding="true" ConnectionID="180" DataBindingLoadMode="1"/>
  </Map>
  <Map ID="5017" Name="reports_Map241" RootElement="reports" SchemaID="Schema242" ShowImportExportValidationErrors="false" AutoFit="true" Append="false" PreserveSortAFLayout="true" PreserveFormat="true">
    <DataBinding FileBinding="true" ConnectionID="221" DataBindingLoadMode="1"/>
  </Map>
  <Map ID="5100" Name="reports_Map242" RootElement="reports" SchemaID="Schema243" ShowImportExportValidationErrors="false" AutoFit="true" Append="false" PreserveSortAFLayout="true" PreserveFormat="true">
    <DataBinding FileBinding="true" ConnectionID="224" DataBindingLoadMode="1"/>
  </Map>
  <Map ID="5183" Name="reports_Map243" RootElement="reports" SchemaID="Schema244" ShowImportExportValidationErrors="false" AutoFit="true" Append="false" PreserveSortAFLayout="true" PreserveFormat="true">
    <DataBinding FileBinding="true" ConnectionID="225" DataBindingLoadMode="1"/>
  </Map>
  <Map ID="5184" Name="reports_Map244" RootElement="reports" SchemaID="Schema245" ShowImportExportValidationErrors="false" AutoFit="true" Append="false" PreserveSortAFLayout="true" PreserveFormat="true">
    <DataBinding FileBinding="true" ConnectionID="226" DataBindingLoadMode="1"/>
  </Map>
  <Map ID="5185" Name="reports_Map245" RootElement="reports" SchemaID="Schema246" ShowImportExportValidationErrors="false" AutoFit="true" Append="false" PreserveSortAFLayout="true" PreserveFormat="true">
    <DataBinding FileBinding="true" ConnectionID="222" DataBindingLoadMode="1"/>
  </Map>
  <Map ID="5186" Name="reports_Map246" RootElement="reports" SchemaID="Schema247" ShowImportExportValidationErrors="false" AutoFit="true" Append="false" PreserveSortAFLayout="true" PreserveFormat="true">
    <DataBinding FileBinding="true" ConnectionID="218" DataBindingLoadMode="1"/>
  </Map>
  <Map ID="5187" Name="reports_Map247" RootElement="reports" SchemaID="Schema248" ShowImportExportValidationErrors="false" AutoFit="true" Append="false" PreserveSortAFLayout="true" PreserveFormat="true">
    <DataBinding FileBinding="true" ConnectionID="181" DataBindingLoadMode="1"/>
  </Map>
  <Map ID="5188" Name="reports_Map248" RootElement="reports" SchemaID="Schema249" ShowImportExportValidationErrors="false" AutoFit="true" Append="false" PreserveSortAFLayout="true" PreserveFormat="true">
    <DataBinding FileBinding="true" ConnectionID="182" DataBindingLoadMode="1"/>
  </Map>
  <Map ID="5271" Name="reports_Map249" RootElement="reports" SchemaID="Schema250" ShowImportExportValidationErrors="false" AutoFit="true" Append="false" PreserveSortAFLayout="true" PreserveFormat="true">
    <DataBinding FileBinding="true" ConnectionID="232" DataBindingLoadMode="1"/>
  </Map>
  <Map ID="42" Name="reports_Map25" RootElement="reports" SchemaID="Schema26" ShowImportExportValidationErrors="false" AutoFit="true" Append="false" PreserveSortAFLayout="true" PreserveFormat="true">
    <DataBinding FileBinding="true" ConnectionID="13" DataBindingLoadMode="1"/>
  </Map>
  <Map ID="5272" Name="reports_Map250" RootElement="reports" SchemaID="Schema251" ShowImportExportValidationErrors="false" AutoFit="true" Append="false" PreserveSortAFLayout="true" PreserveFormat="true">
    <DataBinding FileBinding="true" ConnectionID="233" DataBindingLoadMode="1"/>
  </Map>
  <Map ID="5355" Name="reports_Map251" RootElement="reports" SchemaID="Schema252" ShowImportExportValidationErrors="false" AutoFit="true" Append="false" PreserveSortAFLayout="true" PreserveFormat="true">
    <DataBinding FileBinding="true" ConnectionID="234" DataBindingLoadMode="1"/>
  </Map>
  <Map ID="5356" Name="reports_Map252" RootElement="reports" SchemaID="Schema253" ShowImportExportValidationErrors="false" AutoFit="true" Append="false" PreserveSortAFLayout="true" PreserveFormat="true">
    <DataBinding FileBinding="true" ConnectionID="235" DataBindingLoadMode="1"/>
  </Map>
  <Map ID="5357" Name="reports_Map253" RootElement="reports" SchemaID="Schema254" ShowImportExportValidationErrors="false" AutoFit="true" Append="false" PreserveSortAFLayout="true" PreserveFormat="true">
    <DataBinding FileBinding="true" ConnectionID="236" DataBindingLoadMode="1"/>
  </Map>
  <Map ID="5358" Name="reports_Map254" RootElement="reports" SchemaID="Schema255" ShowImportExportValidationErrors="false" AutoFit="true" Append="false" PreserveSortAFLayout="true" PreserveFormat="true">
    <DataBinding FileBinding="true" ConnectionID="237" DataBindingLoadMode="1"/>
  </Map>
  <Map ID="5359" Name="reports_Map255" RootElement="reports" SchemaID="Schema256" ShowImportExportValidationErrors="false" AutoFit="true" Append="false" PreserveSortAFLayout="true" PreserveFormat="true">
    <DataBinding FileBinding="true" ConnectionID="238" DataBindingLoadMode="1"/>
  </Map>
  <Map ID="5360" Name="reports_Map256" RootElement="reports" SchemaID="Schema257" ShowImportExportValidationErrors="false" AutoFit="true" Append="false" PreserveSortAFLayout="true" PreserveFormat="true">
    <DataBinding FileBinding="true" ConnectionID="239" DataBindingLoadMode="1"/>
  </Map>
  <Map ID="5442" Name="reports_Map257" RootElement="reports" SchemaID="Schema258" ShowImportExportValidationErrors="false" AutoFit="true" Append="false" PreserveSortAFLayout="true" PreserveFormat="true">
    <DataBinding FileBinding="true" ConnectionID="240" DataBindingLoadMode="1"/>
  </Map>
  <Map ID="5443" Name="reports_Map258" RootElement="reports" SchemaID="Schema259" ShowImportExportValidationErrors="false" AutoFit="true" Append="false" PreserveSortAFLayout="true" PreserveFormat="true">
    <DataBinding FileBinding="true" ConnectionID="223" DataBindingLoadMode="1"/>
  </Map>
  <Map ID="5444" Name="reports_Map259" RootElement="reports" SchemaID="Schema260" ShowImportExportValidationErrors="false" AutoFit="true" Append="false" PreserveSortAFLayout="true" PreserveFormat="true">
    <DataBinding FileBinding="true" ConnectionID="227" DataBindingLoadMode="1"/>
  </Map>
  <Map ID="43" Name="reports_Map26" RootElement="reports" SchemaID="Schema27" ShowImportExportValidationErrors="false" AutoFit="true" Append="false" PreserveSortAFLayout="true" PreserveFormat="true">
    <DataBinding FileBinding="true" ConnectionID="14" DataBindingLoadMode="1"/>
  </Map>
  <Map ID="5445" Name="reports_Map260" RootElement="reports" SchemaID="Schema261" ShowImportExportValidationErrors="false" AutoFit="true" Append="false" PreserveSortAFLayout="true" PreserveFormat="true">
    <DataBinding FileBinding="true" ConnectionID="242" DataBindingLoadMode="1"/>
  </Map>
  <Map ID="5446" Name="reports_Map261" RootElement="reports" SchemaID="Schema262" ShowImportExportValidationErrors="false" AutoFit="true" Append="false" PreserveSortAFLayout="true" PreserveFormat="true">
    <DataBinding FileBinding="true" ConnectionID="246" DataBindingLoadMode="1"/>
  </Map>
  <Map ID="5447" Name="reports_Map262" RootElement="reports" SchemaID="Schema263" ShowImportExportValidationErrors="false" AutoFit="true" Append="false" PreserveSortAFLayout="true" PreserveFormat="true">
    <DataBinding FileBinding="true" ConnectionID="247" DataBindingLoadMode="1"/>
  </Map>
  <Map ID="5448" Name="reports_Map263" RootElement="reports" SchemaID="Schema264" ShowImportExportValidationErrors="false" AutoFit="true" Append="false" PreserveSortAFLayout="true" PreserveFormat="true">
    <DataBinding FileBinding="true" ConnectionID="248" DataBindingLoadMode="1"/>
  </Map>
  <Map ID="5449" Name="reports_Map264" RootElement="reports" SchemaID="Schema265" ShowImportExportValidationErrors="false" AutoFit="true" Append="false" PreserveSortAFLayout="true" PreserveFormat="true">
    <DataBinding FileBinding="true" ConnectionID="183" DataBindingLoadMode="1"/>
  </Map>
  <Map ID="5531" Name="reports_Map265" RootElement="reports" SchemaID="Schema266" ShowImportExportValidationErrors="false" AutoFit="true" Append="false" PreserveSortAFLayout="true" PreserveFormat="true">
    <DataBinding FileBinding="true" ConnectionID="250" DataBindingLoadMode="1"/>
  </Map>
  <Map ID="5532" Name="reports_Map266" RootElement="reports" SchemaID="Schema267" ShowImportExportValidationErrors="false" AutoFit="true" Append="false" PreserveSortAFLayout="true" PreserveFormat="true">
    <DataBinding FileBinding="true" ConnectionID="254" DataBindingLoadMode="1"/>
  </Map>
  <Map ID="5533" Name="reports_Map267" RootElement="reports" SchemaID="Schema268" ShowImportExportValidationErrors="false" AutoFit="true" Append="false" PreserveSortAFLayout="true" PreserveFormat="true">
    <DataBinding FileBinding="true" ConnectionID="255" DataBindingLoadMode="1"/>
  </Map>
  <Map ID="5534" Name="reports_Map268" RootElement="reports" SchemaID="Schema269" ShowImportExportValidationErrors="false" AutoFit="true" Append="false" PreserveSortAFLayout="true" PreserveFormat="true">
    <DataBinding FileBinding="true" ConnectionID="256" DataBindingLoadMode="1"/>
  </Map>
  <Map ID="5535" Name="reports_Map269" RootElement="reports" SchemaID="Schema270" ShowImportExportValidationErrors="false" AutoFit="true" Append="false" PreserveSortAFLayout="true" PreserveFormat="true">
    <DataBinding FileBinding="true" ConnectionID="257" DataBindingLoadMode="1"/>
  </Map>
  <Map ID="44" Name="reports_Map27" RootElement="reports" SchemaID="Schema28" ShowImportExportValidationErrors="false" AutoFit="true" Append="false" PreserveSortAFLayout="true" PreserveFormat="true">
    <DataBinding FileBinding="true" ConnectionID="15" DataBindingLoadMode="1"/>
  </Map>
  <Map ID="5536" Name="reports_Map270" RootElement="reports" SchemaID="Schema271" ShowImportExportValidationErrors="false" AutoFit="true" Append="false" PreserveSortAFLayout="true" PreserveFormat="true">
    <DataBinding FileBinding="true" ConnectionID="258" DataBindingLoadMode="1"/>
  </Map>
  <Map ID="5537" Name="reports_Map271" RootElement="reports" SchemaID="Schema272" ShowImportExportValidationErrors="false" AutoFit="true" Append="false" PreserveSortAFLayout="true" PreserveFormat="true">
    <DataBinding FileBinding="true" ConnectionID="259" DataBindingLoadMode="1"/>
  </Map>
  <Map ID="5538" Name="reports_Map272" RootElement="reports" SchemaID="Schema273" ShowImportExportValidationErrors="false" AutoFit="true" Append="false" PreserveSortAFLayout="true" PreserveFormat="true">
    <DataBinding FileBinding="true" ConnectionID="260" DataBindingLoadMode="1"/>
  </Map>
  <Map ID="5539" Name="reports_Map273" RootElement="reports" SchemaID="Schema274" ShowImportExportValidationErrors="false" AutoFit="true" Append="false" PreserveSortAFLayout="true" PreserveFormat="true">
    <DataBinding FileBinding="true" ConnectionID="184" DataBindingLoadMode="1"/>
  </Map>
  <Map ID="5620" Name="reports_Map274" RootElement="reports" SchemaID="Schema275" ShowImportExportValidationErrors="false" AutoFit="true" Append="false" PreserveSortAFLayout="true" PreserveFormat="true">
    <DataBinding FileBinding="true" ConnectionID="262" DataBindingLoadMode="1"/>
  </Map>
  <Map ID="5621" Name="reports_Map275" RootElement="reports" SchemaID="Schema276" ShowImportExportValidationErrors="false" AutoFit="true" Append="false" PreserveSortAFLayout="true" PreserveFormat="true">
    <DataBinding FileBinding="true" ConnectionID="263" DataBindingLoadMode="1"/>
  </Map>
  <Map ID="5701" Name="reports_Map276" RootElement="reports" SchemaID="Schema277" ShowImportExportValidationErrors="false" AutoFit="true" Append="false" PreserveSortAFLayout="true" PreserveFormat="true">
    <DataBinding FileBinding="true" ConnectionID="264" DataBindingLoadMode="1"/>
  </Map>
  <Map ID="5702" Name="reports_Map277" RootElement="reports" SchemaID="Schema278" ShowImportExportValidationErrors="false" AutoFit="true" Append="false" PreserveSortAFLayout="true" PreserveFormat="true">
    <DataBinding FileBinding="true" ConnectionID="267" DataBindingLoadMode="1"/>
  </Map>
  <Map ID="5703" Name="reports_Map278" RootElement="reports" SchemaID="Schema279" ShowImportExportValidationErrors="false" AutoFit="true" Append="false" PreserveSortAFLayout="true" PreserveFormat="true">
    <DataBinding FileBinding="true" ConnectionID="268" DataBindingLoadMode="1"/>
  </Map>
  <Map ID="5704" Name="reports_Map279" RootElement="reports" SchemaID="Schema280" ShowImportExportValidationErrors="false" AutoFit="true" Append="false" PreserveSortAFLayout="true" PreserveFormat="true">
    <DataBinding FileBinding="true" ConnectionID="185" DataBindingLoadMode="1"/>
  </Map>
  <Map ID="52" Name="reports_Map28" RootElement="reports" SchemaID="Schema29" ShowImportExportValidationErrors="false" AutoFit="true" Append="false" PreserveSortAFLayout="true" PreserveFormat="true">
    <DataBinding FileBinding="true" ConnectionID="16" DataBindingLoadMode="1"/>
  </Map>
  <Map ID="5784" Name="reports_Map280" RootElement="reports" SchemaID="Schema281" ShowImportExportValidationErrors="false" AutoFit="true" Append="false" PreserveSortAFLayout="true" PreserveFormat="true">
    <DataBinding FileBinding="true" ConnectionID="269" DataBindingLoadMode="1"/>
  </Map>
  <Map ID="5863" Name="reports_Map281" RootElement="reports" SchemaID="Schema282" ShowImportExportValidationErrors="false" AutoFit="true" Append="false" PreserveSortAFLayout="true" PreserveFormat="true">
    <DataBinding FileBinding="true" ConnectionID="270" DataBindingLoadMode="1"/>
  </Map>
  <Map ID="5864" Name="reports_Map282" RootElement="reports" SchemaID="Schema283" ShowImportExportValidationErrors="false" AutoFit="true" Append="false" PreserveSortAFLayout="true" PreserveFormat="true">
    <DataBinding FileBinding="true" ConnectionID="186" DataBindingLoadMode="1"/>
  </Map>
  <Map ID="5865" Name="reports_Map283" RootElement="reports" SchemaID="Schema284" ShowImportExportValidationErrors="false" AutoFit="true" Append="false" PreserveSortAFLayout="true" PreserveFormat="true">
    <DataBinding FileBinding="true" ConnectionID="187" DataBindingLoadMode="1"/>
  </Map>
  <Map ID="5944" Name="reports_Map284" RootElement="reports" SchemaID="Schema285" ShowImportExportValidationErrors="false" AutoFit="true" Append="false" PreserveSortAFLayout="true" PreserveFormat="true">
    <DataBinding FileBinding="true" ConnectionID="285" DataBindingLoadMode="1"/>
  </Map>
  <Map ID="5945" Name="reports_Map285" RootElement="reports" SchemaID="Schema286" ShowImportExportValidationErrors="false" AutoFit="true" Append="false" PreserveSortAFLayout="true" PreserveFormat="true">
    <DataBinding FileBinding="true" ConnectionID="291" DataBindingLoadMode="1"/>
  </Map>
  <Map ID="5946" Name="reports_Map286" RootElement="reports" SchemaID="Schema287" ShowImportExportValidationErrors="false" AutoFit="true" Append="false" PreserveSortAFLayout="true" PreserveFormat="true">
    <DataBinding FileBinding="true" ConnectionID="292" DataBindingLoadMode="1"/>
  </Map>
  <Map ID="5947" Name="reports_Map287" RootElement="reports" SchemaID="Schema288" ShowImportExportValidationErrors="false" AutoFit="true" Append="false" PreserveSortAFLayout="true" PreserveFormat="true">
    <DataBinding FileBinding="true" ConnectionID="293" DataBindingLoadMode="1"/>
  </Map>
  <Map ID="5948" Name="reports_Map288" RootElement="reports" SchemaID="Schema289" ShowImportExportValidationErrors="false" AutoFit="true" Append="false" PreserveSortAFLayout="true" PreserveFormat="true">
    <DataBinding FileBinding="true" ConnectionID="294" DataBindingLoadMode="1"/>
  </Map>
  <Map ID="5949" Name="reports_Map289" RootElement="reports" SchemaID="Schema290" ShowImportExportValidationErrors="false" AutoFit="true" Append="false" PreserveSortAFLayout="true" PreserveFormat="true">
    <DataBinding FileBinding="true" ConnectionID="295" DataBindingLoadMode="1"/>
  </Map>
  <Map ID="53" Name="reports_Map29" RootElement="reports" SchemaID="Schema30" ShowImportExportValidationErrors="false" AutoFit="true" Append="false" PreserveSortAFLayout="true" PreserveFormat="true">
    <DataBinding FileBinding="true" ConnectionID="17" DataBindingLoadMode="1"/>
  </Map>
  <Map ID="5950" Name="reports_Map290" RootElement="reports" SchemaID="Schema291" ShowImportExportValidationErrors="false" AutoFit="true" Append="false" PreserveSortAFLayout="true" PreserveFormat="true">
    <DataBinding FileBinding="true" ConnectionID="296" DataBindingLoadMode="1"/>
  </Map>
  <Map ID="5951" Name="reports_Map291" RootElement="reports" SchemaID="Schema292" ShowImportExportValidationErrors="false" AutoFit="true" Append="false" PreserveSortAFLayout="true" PreserveFormat="true">
    <DataBinding FileBinding="true" ConnectionID="297" DataBindingLoadMode="1"/>
  </Map>
  <Map ID="5952" Name="reports_Map292" RootElement="reports" SchemaID="Schema293" ShowImportExportValidationErrors="false" AutoFit="true" Append="false" PreserveSortAFLayout="true" PreserveFormat="true">
    <DataBinding FileBinding="true" ConnectionID="188" DataBindingLoadMode="1"/>
  </Map>
  <Map ID="5953" Name="reports_Map293" RootElement="reports" SchemaID="Schema294" ShowImportExportValidationErrors="false" AutoFit="true" Append="false" PreserveSortAFLayout="true" PreserveFormat="true">
    <DataBinding FileBinding="true" ConnectionID="189" DataBindingLoadMode="1"/>
  </Map>
  <Map ID="5954" Name="reports_Map294" RootElement="reports" SchemaID="Schema295" ShowImportExportValidationErrors="false" AutoFit="true" Append="false" PreserveSortAFLayout="true" PreserveFormat="true">
    <DataBinding FileBinding="true" ConnectionID="286" DataBindingLoadMode="1"/>
  </Map>
  <Map ID="5955" Name="reports_Map295" RootElement="reports" SchemaID="Schema296" ShowImportExportValidationErrors="false" AutoFit="true" Append="false" PreserveSortAFLayout="true" PreserveFormat="true">
    <DataBinding FileBinding="true" ConnectionID="287" DataBindingLoadMode="1"/>
  </Map>
  <Map ID="6034" Name="reports_Map296" RootElement="reports" SchemaID="Schema297" ShowImportExportValidationErrors="false" AutoFit="true" Append="false" PreserveSortAFLayout="true" PreserveFormat="true">
    <DataBinding FileBinding="true" ConnectionID="191" DataBindingLoadMode="1"/>
  </Map>
  <Map ID="6112" Name="reports_Map297" RootElement="reports" SchemaID="Schema298" ShowImportExportValidationErrors="false" AutoFit="true" Append="false" PreserveSortAFLayout="true" PreserveFormat="true">
    <DataBinding FileBinding="true" ConnectionID="196" DataBindingLoadMode="1"/>
  </Map>
  <Map ID="6113" Name="reports_Map298" RootElement="reports" SchemaID="Schema299" ShowImportExportValidationErrors="false" AutoFit="true" Append="false" PreserveSortAFLayout="true" PreserveFormat="true">
    <DataBinding FileBinding="true" ConnectionID="197" DataBindingLoadMode="1"/>
  </Map>
  <Map ID="6191" Name="reports_Map299" RootElement="reports" SchemaID="Schema300" ShowImportExportValidationErrors="false" AutoFit="true" Append="false" PreserveSortAFLayout="true" PreserveFormat="true">
    <DataBinding FileBinding="true" ConnectionID="198" DataBindingLoadMode="1"/>
  </Map>
  <Map ID="4" Name="reports_Map3" RootElement="reports" SchemaID="Schema4" ShowImportExportValidationErrors="false" AutoFit="true" Append="false" PreserveSortAFLayout="true" PreserveFormat="true">
    <DataBinding FileBinding="true" ConnectionID="49" DataBindingLoadMode="1"/>
  </Map>
  <Map ID="54" Name="reports_Map30" RootElement="reports" SchemaID="Schema31" ShowImportExportValidationErrors="false" AutoFit="true" Append="false" PreserveSortAFLayout="true" PreserveFormat="true">
    <DataBinding FileBinding="true" ConnectionID="18" DataBindingLoadMode="1"/>
  </Map>
  <Map ID="6192" Name="reports_Map300" RootElement="reports" SchemaID="Schema301" ShowImportExportValidationErrors="false" AutoFit="true" Append="false" PreserveSortAFLayout="true" PreserveFormat="true">
    <DataBinding FileBinding="true" ConnectionID="199" DataBindingLoadMode="1"/>
  </Map>
  <Map ID="6270" Name="reports_Map301" RootElement="reports" SchemaID="Schema302" ShowImportExportValidationErrors="false" AutoFit="true" Append="false" PreserveSortAFLayout="true" PreserveFormat="true">
    <DataBinding FileBinding="true" ConnectionID="200" DataBindingLoadMode="1"/>
  </Map>
  <Map ID="6271" Name="reports_Map302" RootElement="reports" SchemaID="Schema303" ShowImportExportValidationErrors="false" AutoFit="true" Append="false" PreserveSortAFLayout="true" PreserveFormat="true">
    <DataBinding FileBinding="true" ConnectionID="201" DataBindingLoadMode="1"/>
  </Map>
  <Map ID="6272" Name="reports_Map303" RootElement="reports" SchemaID="Schema304" ShowImportExportValidationErrors="false" AutoFit="true" Append="false" PreserveSortAFLayout="true" PreserveFormat="true">
    <DataBinding FileBinding="true" ConnectionID="202" DataBindingLoadMode="1"/>
  </Map>
  <Map ID="6273" Name="reports_Map304" RootElement="reports" SchemaID="Schema305" ShowImportExportValidationErrors="false" AutoFit="true" Append="false" PreserveSortAFLayout="true" PreserveFormat="true">
    <DataBinding FileBinding="true" ConnectionID="52" DataBindingLoadMode="1"/>
  </Map>
  <Map ID="6274" Name="reports_Map305" RootElement="reports" SchemaID="Schema306" ShowImportExportValidationErrors="false" AutoFit="true" Append="false" PreserveSortAFLayout="true" PreserveFormat="true">
    <DataBinding FileBinding="true" ConnectionID="192" DataBindingLoadMode="1"/>
  </Map>
  <Map ID="6275" Name="reports_Map306" RootElement="reports" SchemaID="Schema307" ShowImportExportValidationErrors="false" AutoFit="true" Append="false" PreserveSortAFLayout="true" PreserveFormat="true">
    <DataBinding FileBinding="true" ConnectionID="193" DataBindingLoadMode="1"/>
  </Map>
  <Map ID="6276" Name="reports_Map307" RootElement="reports" SchemaID="Schema308" ShowImportExportValidationErrors="false" AutoFit="true" Append="false" PreserveSortAFLayout="true" PreserveFormat="true">
    <DataBinding FileBinding="true" ConnectionID="228" DataBindingLoadMode="1"/>
  </Map>
  <Map ID="6277" Name="reports_Map308" RootElement="reports" SchemaID="Schema309" ShowImportExportValidationErrors="false" AutoFit="true" Append="false" PreserveSortAFLayout="true" PreserveFormat="true">
    <DataBinding FileBinding="true" ConnectionID="229" DataBindingLoadMode="1"/>
  </Map>
  <Map ID="55" Name="reports_Map31" RootElement="reports" SchemaID="Schema32" ShowImportExportValidationErrors="false" AutoFit="true" Append="false" PreserveSortAFLayout="true" PreserveFormat="true">
    <DataBinding FileBinding="true" ConnectionID="19" DataBindingLoadMode="1"/>
  </Map>
  <Map ID="56" Name="reports_Map32" RootElement="reports" SchemaID="Schema33" ShowImportExportValidationErrors="false" AutoFit="true" Append="false" PreserveSortAFLayout="true" PreserveFormat="true">
    <DataBinding FileBinding="true" ConnectionID="20" DataBindingLoadMode="1"/>
  </Map>
  <Map ID="57" Name="reports_Map33" RootElement="reports" SchemaID="Schema34" ShowImportExportValidationErrors="false" AutoFit="true" Append="false" PreserveSortAFLayout="true" PreserveFormat="true">
    <DataBinding FileBinding="true" ConnectionID="4" DataBindingLoadMode="1"/>
  </Map>
  <Map ID="58" Name="reports_Map34" RootElement="reports" SchemaID="Schema35" ShowImportExportValidationErrors="false" AutoFit="true" Append="false" PreserveSortAFLayout="true" PreserveFormat="true">
    <DataBinding FileBinding="true" ConnectionID="5" DataBindingLoadMode="1"/>
  </Map>
  <Map ID="59" Name="reports_Map35" RootElement="reports" SchemaID="Schema36" ShowImportExportValidationErrors="false" AutoFit="true" Append="false" PreserveSortAFLayout="true" PreserveFormat="true">
    <DataBinding FileBinding="true" ConnectionID="6" DataBindingLoadMode="1"/>
  </Map>
  <Map ID="60" Name="reports_Map36" RootElement="reports" SchemaID="Schema37" ShowImportExportValidationErrors="false" AutoFit="true" Append="false" PreserveSortAFLayout="true" PreserveFormat="true">
    <DataBinding FileBinding="true" ConnectionID="7" DataBindingLoadMode="1"/>
  </Map>
  <Map ID="61" Name="reports_Map37" RootElement="reports" SchemaID="Schema38" ShowImportExportValidationErrors="false" AutoFit="true" Append="false" PreserveSortAFLayout="true" PreserveFormat="true">
    <DataBinding FileBinding="true" ConnectionID="8" DataBindingLoadMode="1"/>
  </Map>
  <Map ID="62" Name="reports_Map38" RootElement="reports" SchemaID="Schema39" ShowImportExportValidationErrors="false" AutoFit="true" Append="false" PreserveSortAFLayout="true" PreserveFormat="true">
    <DataBinding FileBinding="true" ConnectionID="9" DataBindingLoadMode="1"/>
  </Map>
  <Map ID="63" Name="reports_Map39" RootElement="reports" SchemaID="Schema40" ShowImportExportValidationErrors="false" AutoFit="true" Append="false" PreserveSortAFLayout="true" PreserveFormat="true">
    <DataBinding FileBinding="true" ConnectionID="10" DataBindingLoadMode="1"/>
  </Map>
  <Map ID="5" Name="reports_Map4" RootElement="reports" SchemaID="Schema5" ShowImportExportValidationErrors="false" AutoFit="true" Append="false" PreserveSortAFLayout="true" PreserveFormat="true">
    <DataBinding FileBinding="true" ConnectionID="50" DataBindingLoadMode="1"/>
  </Map>
  <Map ID="64" Name="reports_Map40" RootElement="reports" SchemaID="Schema41" ShowImportExportValidationErrors="false" AutoFit="true" Append="false" PreserveSortAFLayout="true" PreserveFormat="true">
    <DataBinding FileBinding="true" ConnectionID="11" DataBindingLoadMode="1"/>
  </Map>
  <Map ID="65" Name="reports_Map41" RootElement="reports" SchemaID="Schema42" ShowImportExportValidationErrors="false" AutoFit="true" Append="false" PreserveSortAFLayout="true" PreserveFormat="true">
    <DataBinding FileBinding="true" ConnectionID="12" DataBindingLoadMode="1"/>
  </Map>
  <Map ID="73" Name="reports_Map42" RootElement="reports" SchemaID="Schema43" ShowImportExportValidationErrors="false" AutoFit="true" Append="false" PreserveSortAFLayout="true" PreserveFormat="true">
    <DataBinding FileBinding="true" ConnectionID="23" DataBindingLoadMode="1"/>
  </Map>
  <Map ID="74" Name="reports_Map43" RootElement="reports" SchemaID="Schema44" ShowImportExportValidationErrors="false" AutoFit="true" Append="false" PreserveSortAFLayout="true" PreserveFormat="true">
    <DataBinding FileBinding="true" ConnectionID="24" DataBindingLoadMode="1"/>
  </Map>
  <Map ID="75" Name="reports_Map44" RootElement="reports" SchemaID="Schema45" ShowImportExportValidationErrors="false" AutoFit="true" Append="false" PreserveSortAFLayout="true" PreserveFormat="true">
    <DataBinding FileBinding="true" ConnectionID="25" DataBindingLoadMode="1"/>
  </Map>
  <Map ID="81" Name="reports_Map45" RootElement="reports" SchemaID="Schema46" ShowImportExportValidationErrors="false" AutoFit="true" Append="false" PreserveSortAFLayout="true" PreserveFormat="true">
    <DataBinding FileBinding="true" ConnectionID="26" DataBindingLoadMode="1"/>
  </Map>
  <Map ID="82" Name="reports_Map46" RootElement="reports" SchemaID="Schema47" ShowImportExportValidationErrors="false" AutoFit="true" Append="false" PreserveSortAFLayout="true" PreserveFormat="true">
    <DataBinding FileBinding="true" ConnectionID="27" DataBindingLoadMode="1"/>
  </Map>
  <Map ID="83" Name="reports_Map47" RootElement="reports" SchemaID="Schema48" ShowImportExportValidationErrors="false" AutoFit="true" Append="false" PreserveSortAFLayout="true" PreserveFormat="true">
    <DataBinding FileBinding="true" ConnectionID="28" DataBindingLoadMode="1"/>
  </Map>
  <Map ID="84" Name="reports_Map48" RootElement="reports" SchemaID="Schema49" ShowImportExportValidationErrors="false" AutoFit="true" Append="false" PreserveSortAFLayout="true" PreserveFormat="true">
    <DataBinding FileBinding="true" ConnectionID="29" DataBindingLoadMode="1"/>
  </Map>
  <Map ID="85" Name="reports_Map49" RootElement="reports" SchemaID="Schema50" ShowImportExportValidationErrors="false" AutoFit="true" Append="false" PreserveSortAFLayout="true" PreserveFormat="true">
    <DataBinding FileBinding="true" ConnectionID="30" DataBindingLoadMode="1"/>
  </Map>
  <Map ID="6" Name="reports_Map5" RootElement="reports" SchemaID="Schema6" ShowImportExportValidationErrors="false" AutoFit="true" Append="false" PreserveSortAFLayout="true" PreserveFormat="true">
    <DataBinding FileBinding="true" ConnectionID="31" DataBindingLoadMode="1"/>
  </Map>
  <Map ID="91" Name="reports_Map50" RootElement="reports" SchemaID="Schema51" ShowImportExportValidationErrors="false" AutoFit="true" Append="false" PreserveSortAFLayout="true" PreserveFormat="true">
    <DataBinding FileBinding="true" ConnectionID="51" DataBindingLoadMode="1"/>
  </Map>
  <Map ID="96" Name="reports_Map51" RootElement="reports" SchemaID="Schema52" ShowImportExportValidationErrors="false" AutoFit="true" Append="false" PreserveSortAFLayout="true" PreserveFormat="true">
    <DataBinding FileBinding="true" ConnectionID="92" DataBindingLoadMode="1"/>
  </Map>
  <Map ID="97" Name="reports_Map52" RootElement="reports" SchemaID="Schema53" ShowImportExportValidationErrors="false" AutoFit="true" Append="false" PreserveSortAFLayout="true" PreserveFormat="true">
    <DataBinding FileBinding="true" ConnectionID="93" DataBindingLoadMode="1"/>
  </Map>
  <Map ID="98" Name="reports_Map53" RootElement="reports" SchemaID="Schema54" ShowImportExportValidationErrors="false" AutoFit="true" Append="false" PreserveSortAFLayout="true" PreserveFormat="true">
    <DataBinding FileBinding="true" ConnectionID="94" DataBindingLoadMode="1"/>
  </Map>
  <Map ID="99" Name="reports_Map54" RootElement="reports" SchemaID="Schema55" ShowImportExportValidationErrors="false" AutoFit="true" Append="false" PreserveSortAFLayout="true" PreserveFormat="true">
    <DataBinding FileBinding="true" ConnectionID="95" DataBindingLoadMode="1"/>
  </Map>
  <Map ID="100" Name="reports_Map55" RootElement="reports" SchemaID="Schema56" ShowImportExportValidationErrors="false" AutoFit="true" Append="false" PreserveSortAFLayout="true" PreserveFormat="true">
    <DataBinding FileBinding="true" ConnectionID="96" DataBindingLoadMode="1"/>
  </Map>
  <Map ID="101" Name="reports_Map56" RootElement="reports" SchemaID="Schema57" ShowImportExportValidationErrors="false" AutoFit="true" Append="false" PreserveSortAFLayout="true" PreserveFormat="true">
    <DataBinding FileBinding="true" ConnectionID="97" DataBindingLoadMode="1"/>
  </Map>
  <Map ID="102" Name="reports_Map57" RootElement="reports" SchemaID="Schema58" ShowImportExportValidationErrors="false" AutoFit="true" Append="false" PreserveSortAFLayout="true" PreserveFormat="true">
    <DataBinding FileBinding="true" ConnectionID="98" DataBindingLoadMode="1"/>
  </Map>
  <Map ID="103" Name="reports_Map58" RootElement="reports" SchemaID="Schema59" ShowImportExportValidationErrors="false" AutoFit="true" Append="false" PreserveSortAFLayout="true" PreserveFormat="true">
    <DataBinding FileBinding="true" ConnectionID="110" DataBindingLoadMode="1"/>
  </Map>
  <Map ID="104" Name="reports_Map59" RootElement="reports" SchemaID="Schema60" ShowImportExportValidationErrors="false" AutoFit="true" Append="false" PreserveSortAFLayout="true" PreserveFormat="true">
    <DataBinding FileBinding="true" ConnectionID="111" DataBindingLoadMode="1"/>
  </Map>
  <Map ID="7" Name="reports_Map6" RootElement="reports" SchemaID="Schema7" ShowImportExportValidationErrors="false" AutoFit="true" Append="false" PreserveSortAFLayout="true" PreserveFormat="true">
    <DataBinding FileBinding="true" ConnectionID="32" DataBindingLoadMode="1"/>
  </Map>
  <Map ID="105" Name="reports_Map60" RootElement="reports" SchemaID="Schema61" ShowImportExportValidationErrors="false" AutoFit="true" Append="false" PreserveSortAFLayout="true" PreserveFormat="true">
    <DataBinding FileBinding="true" ConnectionID="112" DataBindingLoadMode="1"/>
  </Map>
  <Map ID="110" Name="reports_Map61" RootElement="reports" SchemaID="Schema62" ShowImportExportValidationErrors="false" AutoFit="true" Append="false" PreserveSortAFLayout="true" PreserveFormat="true">
    <DataBinding FileBinding="true" ConnectionID="113" DataBindingLoadMode="1"/>
  </Map>
  <Map ID="114" Name="reports_Map62" RootElement="reports" SchemaID="Schema63" ShowImportExportValidationErrors="false" AutoFit="true" Append="false" PreserveSortAFLayout="true" PreserveFormat="true">
    <DataBinding FileBinding="true" ConnectionID="203" DataBindingLoadMode="1"/>
  </Map>
  <Map ID="118" Name="reports_Map63" RootElement="reports" SchemaID="Schema64" ShowImportExportValidationErrors="false" AutoFit="true" Append="false" PreserveSortAFLayout="true" PreserveFormat="true">
    <DataBinding FileBinding="true" ConnectionID="60" DataBindingLoadMode="1"/>
  </Map>
  <Map ID="122" Name="reports_Map64" RootElement="reports" SchemaID="Schema65" ShowImportExportValidationErrors="false" AutoFit="true" Append="false" PreserveSortAFLayout="true" PreserveFormat="true">
    <DataBinding FileBinding="true" ConnectionID="59" DataBindingLoadMode="1"/>
  </Map>
  <Map ID="123" Name="reports_Map65" RootElement="reports" SchemaID="Schema66" ShowImportExportValidationErrors="false" AutoFit="true" Append="false" PreserveSortAFLayout="true" PreserveFormat="true">
    <DataBinding FileBinding="true" ConnectionID="61" DataBindingLoadMode="1"/>
  </Map>
  <Map ID="127" Name="reports_Map66" RootElement="reports" SchemaID="Schema67" ShowImportExportValidationErrors="false" AutoFit="true" Append="false" PreserveSortAFLayout="true" PreserveFormat="true">
    <DataBinding FileBinding="true" ConnectionID="62" DataBindingLoadMode="1"/>
  </Map>
  <Map ID="131" Name="reports_Map67" RootElement="reports" SchemaID="Schema68" ShowImportExportValidationErrors="false" AutoFit="true" Append="false" PreserveSortAFLayout="true" PreserveFormat="true">
    <DataBinding FileBinding="true" ConnectionID="63" DataBindingLoadMode="1"/>
  </Map>
  <Map ID="132" Name="reports_Map68" RootElement="reports" SchemaID="Schema69" ShowImportExportValidationErrors="false" AutoFit="true" Append="false" PreserveSortAFLayout="true" PreserveFormat="true">
    <DataBinding FileBinding="true" ConnectionID="68" DataBindingLoadMode="1"/>
  </Map>
  <Map ID="133" Name="reports_Map69" RootElement="reports" SchemaID="Schema70" ShowImportExportValidationErrors="false" AutoFit="true" Append="false" PreserveSortAFLayout="true" PreserveFormat="true">
    <DataBinding FileBinding="true" ConnectionID="69" DataBindingLoadMode="1"/>
  </Map>
  <Map ID="8" Name="reports_Map7" RootElement="reports" SchemaID="Schema8" ShowImportExportValidationErrors="false" AutoFit="true" Append="false" PreserveSortAFLayout="true" PreserveFormat="true">
    <DataBinding FileBinding="true" ConnectionID="33" DataBindingLoadMode="1"/>
  </Map>
  <Map ID="137" Name="reports_Map70" RootElement="reports" SchemaID="Schema71" ShowImportExportValidationErrors="false" AutoFit="true" Append="false" PreserveSortAFLayout="true" PreserveFormat="true">
    <DataBinding FileBinding="true" ConnectionID="71" DataBindingLoadMode="1"/>
  </Map>
  <Map ID="140" Name="reports_Map71" RootElement="reports" SchemaID="Schema72" ShowImportExportValidationErrors="false" AutoFit="true" Append="false" PreserveSortAFLayout="true" PreserveFormat="true">
    <DataBinding FileBinding="true" ConnectionID="72" DataBindingLoadMode="1"/>
  </Map>
  <Map ID="143" Name="reports_Map72" RootElement="reports" SchemaID="Schema73" ShowImportExportValidationErrors="false" AutoFit="true" Append="false" PreserveSortAFLayout="true" PreserveFormat="true">
    <DataBinding FileBinding="true" ConnectionID="73" DataBindingLoadMode="1"/>
  </Map>
  <Map ID="144" Name="reports_Map73" RootElement="reports" SchemaID="Schema74" ShowImportExportValidationErrors="false" AutoFit="true" Append="false" PreserveSortAFLayout="true" PreserveFormat="true">
    <DataBinding FileBinding="true" ConnectionID="74" DataBindingLoadMode="1"/>
  </Map>
  <Map ID="145" Name="reports_Map74" RootElement="reports" SchemaID="Schema75" ShowImportExportValidationErrors="false" AutoFit="true" Append="false" PreserveSortAFLayout="true" PreserveFormat="true">
    <DataBinding FileBinding="true" ConnectionID="75" DataBindingLoadMode="1"/>
  </Map>
  <Map ID="148" Name="reports_Map75" RootElement="reports" SchemaID="Schema76" ShowImportExportValidationErrors="false" AutoFit="true" Append="false" PreserveSortAFLayout="true" PreserveFormat="true">
    <DataBinding FileBinding="true" ConnectionID="76" DataBindingLoadMode="1"/>
  </Map>
  <Map ID="151" Name="reports_Map76" RootElement="reports" SchemaID="Schema77" ShowImportExportValidationErrors="false" AutoFit="true" Append="false" PreserveSortAFLayout="true" PreserveFormat="true">
    <DataBinding FileBinding="true" ConnectionID="77" DataBindingLoadMode="1"/>
  </Map>
  <Map ID="154" Name="reports_Map77" RootElement="reports" SchemaID="Schema78" ShowImportExportValidationErrors="false" AutoFit="true" Append="false" PreserveSortAFLayout="true" PreserveFormat="true">
    <DataBinding FileBinding="true" ConnectionID="78" DataBindingLoadMode="1"/>
  </Map>
  <Map ID="157" Name="reports_Map78" RootElement="reports" SchemaID="Schema79" ShowImportExportValidationErrors="false" AutoFit="true" Append="false" PreserveSortAFLayout="true" PreserveFormat="true">
    <DataBinding FileBinding="true" ConnectionID="70" DataBindingLoadMode="1"/>
  </Map>
  <Map ID="158" Name="reports_Map79" RootElement="reports" SchemaID="Schema80" ShowImportExportValidationErrors="false" AutoFit="true" Append="false" PreserveSortAFLayout="true" PreserveFormat="true">
    <DataBinding FileBinding="true" ConnectionID="102" DataBindingLoadMode="1"/>
  </Map>
  <Map ID="9" Name="reports_Map8" RootElement="reports" SchemaID="Schema9" ShowImportExportValidationErrors="false" AutoFit="true" Append="false" PreserveSortAFLayout="true" PreserveFormat="true">
    <DataBinding FileBinding="true" ConnectionID="39" DataBindingLoadMode="1"/>
  </Map>
  <Map ID="161" Name="reports_Map80" RootElement="reports" SchemaID="Schema81" ShowImportExportValidationErrors="false" AutoFit="true" Append="false" PreserveSortAFLayout="true" PreserveFormat="true">
    <DataBinding FileBinding="true" ConnectionID="103" DataBindingLoadMode="1"/>
  </Map>
  <Map ID="163" Name="reports_Map81" RootElement="reports" SchemaID="Schema82" ShowImportExportValidationErrors="false" AutoFit="true" Append="false" PreserveSortAFLayout="true" PreserveFormat="true">
    <DataBinding FileBinding="true" ConnectionID="104" DataBindingLoadMode="1"/>
  </Map>
  <Map ID="164" Name="reports_Map82" RootElement="reports" SchemaID="Schema83" ShowImportExportValidationErrors="false" AutoFit="true" Append="false" PreserveSortAFLayout="true" PreserveFormat="true">
    <DataBinding FileBinding="true" ConnectionID="105" DataBindingLoadMode="1"/>
  </Map>
  <Map ID="165" Name="reports_Map83" RootElement="reports" SchemaID="Schema84" ShowImportExportValidationErrors="false" AutoFit="true" Append="false" PreserveSortAFLayout="true" PreserveFormat="true">
    <DataBinding FileBinding="true" ConnectionID="100" DataBindingLoadMode="1"/>
  </Map>
  <Map ID="167" Name="reports_Map84" RootElement="reports" SchemaID="Schema85" ShowImportExportValidationErrors="false" AutoFit="true" Append="false" PreserveSortAFLayout="true" PreserveFormat="true">
    <DataBinding FileBinding="true" ConnectionID="101" DataBindingLoadMode="1"/>
  </Map>
  <Map ID="169" Name="reports_Map85" RootElement="reports" SchemaID="Schema86" ShowImportExportValidationErrors="false" AutoFit="true" Append="false" PreserveSortAFLayout="true" PreserveFormat="true">
    <DataBinding FileBinding="true" ConnectionID="99" DataBindingLoadMode="1"/>
  </Map>
  <Map ID="171" Name="reports_Map86" RootElement="reports" SchemaID="Schema87" ShowImportExportValidationErrors="false" AutoFit="true" Append="false" PreserveSortAFLayout="true" PreserveFormat="true">
    <DataBinding FileBinding="true" ConnectionID="114" DataBindingLoadMode="1"/>
  </Map>
  <Map ID="173" Name="reports_Map87" RootElement="reports" SchemaID="Schema88" ShowImportExportValidationErrors="false" AutoFit="true" Append="false" PreserveSortAFLayout="true" PreserveFormat="true">
    <DataBinding FileBinding="true" ConnectionID="216" DataBindingLoadMode="1"/>
  </Map>
  <Map ID="174" Name="reports_Map88" RootElement="reports" SchemaID="Schema89" ShowImportExportValidationErrors="false" AutoFit="true" Append="false" PreserveSortAFLayout="true" PreserveFormat="true">
    <DataBinding FileBinding="true" ConnectionID="220" DataBindingLoadMode="1"/>
  </Map>
  <Map ID="176" Name="reports_Map89" RootElement="reports" SchemaID="Schema90" ShowImportExportValidationErrors="false" AutoFit="true" Append="false" PreserveSortAFLayout="true" PreserveFormat="true">
    <DataBinding FileBinding="true" ConnectionID="249" DataBindingLoadMode="1"/>
  </Map>
  <Map ID="10" Name="reports_Map9" RootElement="reports" SchemaID="Schema10" ShowImportExportValidationErrors="false" AutoFit="true" Append="false" PreserveSortAFLayout="true" PreserveFormat="true">
    <DataBinding FileBinding="true" ConnectionID="40" DataBindingLoadMode="1"/>
  </Map>
  <Map ID="178" Name="reports_Map90" RootElement="reports" SchemaID="Schema91" ShowImportExportValidationErrors="false" AutoFit="true" Append="false" PreserveSortAFLayout="true" PreserveFormat="true">
    <DataBinding FileBinding="true" ConnectionID="278" DataBindingLoadMode="1"/>
  </Map>
  <Map ID="179" Name="reports_Map91" RootElement="reports" SchemaID="Schema92" ShowImportExportValidationErrors="false" AutoFit="true" Append="false" PreserveSortAFLayout="true" PreserveFormat="true">
    <DataBinding FileBinding="true" ConnectionID="115" DataBindingLoadMode="1"/>
  </Map>
  <Map ID="180" Name="reports_Map92" RootElement="reports" SchemaID="Schema93" ShowImportExportValidationErrors="false" AutoFit="true" Append="false" PreserveSortAFLayout="true" PreserveFormat="true">
    <DataBinding FileBinding="true" ConnectionID="116" DataBindingLoadMode="1"/>
  </Map>
  <Map ID="181" Name="reports_Map93" RootElement="reports" SchemaID="Schema94" ShowImportExportValidationErrors="false" AutoFit="true" Append="false" PreserveSortAFLayout="true" PreserveFormat="true">
    <DataBinding FileBinding="true" ConnectionID="117" DataBindingLoadMode="1"/>
  </Map>
  <Map ID="182" Name="reports_Map94" RootElement="reports" SchemaID="Schema95" ShowImportExportValidationErrors="false" AutoFit="true" Append="false" PreserveSortAFLayout="true" PreserveFormat="true">
    <DataBinding FileBinding="true" ConnectionID="119" DataBindingLoadMode="1"/>
  </Map>
  <Map ID="183" Name="reports_Map95" RootElement="reports" SchemaID="Schema96" ShowImportExportValidationErrors="false" AutoFit="true" Append="false" PreserveSortAFLayout="true" PreserveFormat="true">
    <DataBinding FileBinding="true" ConnectionID="120" DataBindingLoadMode="1"/>
  </Map>
  <Map ID="184" Name="reports_Map96" RootElement="reports" SchemaID="Schema97" ShowImportExportValidationErrors="false" AutoFit="true" Append="false" PreserveSortAFLayout="true" PreserveFormat="true">
    <DataBinding FileBinding="true" ConnectionID="121" DataBindingLoadMode="1"/>
  </Map>
  <Map ID="185" Name="reports_Map97" RootElement="reports" SchemaID="Schema98" ShowImportExportValidationErrors="false" AutoFit="true" Append="false" PreserveSortAFLayout="true" PreserveFormat="true">
    <DataBinding FileBinding="true" ConnectionID="122" DataBindingLoadMode="1"/>
  </Map>
  <Map ID="186" Name="reports_Map98" RootElement="reports" SchemaID="Schema99" ShowImportExportValidationErrors="false" AutoFit="true" Append="false" PreserveSortAFLayout="true" PreserveFormat="true">
    <DataBinding FileBinding="true" ConnectionID="123" DataBindingLoadMode="1"/>
  </Map>
  <Map ID="187" Name="reports_Map99" RootElement="reports" SchemaID="Schema100" ShowImportExportValidationErrors="false" AutoFit="true" Append="false" PreserveSortAFLayout="true" PreserveFormat="true">
    <DataBinding FileBinding="true" ConnectionID="12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876300</xdr:colOff>
          <xdr:row>19</xdr:row>
          <xdr:rowOff>38100</xdr:rowOff>
        </xdr:from>
        <xdr:to>
          <xdr:col>13</xdr:col>
          <xdr:colOff>1133475</xdr:colOff>
          <xdr:row>21</xdr:row>
          <xdr:rowOff>161925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17</xdr:row>
          <xdr:rowOff>28575</xdr:rowOff>
        </xdr:from>
        <xdr:to>
          <xdr:col>6</xdr:col>
          <xdr:colOff>533400</xdr:colOff>
          <xdr:row>19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35065A-67AB-4260-85DC-F808052C99FD}" name="Table8" displayName="Table8" ref="A1:Q218" tableType="xml" totalsRowShown="0" connectionId="229">
  <autoFilter ref="A1:Q218" xr:uid="{C72DA529-34BB-464C-BFCB-CCA5E6D52FE0}"/>
  <tableColumns count="17">
    <tableColumn id="1" xr3:uid="{C40E1FA3-330C-4814-A955-8634537E057C}" uniqueName="no" name="no">
      <xmlColumnPr mapId="6277" xpath="/ns1:reports/report/no" xmlDataType="string"/>
    </tableColumn>
    <tableColumn id="2" xr3:uid="{A8378496-28BA-411D-B64D-809736B79B4B}" uniqueName="name" name="name">
      <xmlColumnPr mapId="6277" xpath="/ns1:reports/report/name" xmlDataType="string"/>
    </tableColumn>
    <tableColumn id="3" xr3:uid="{8B5E61FA-0D89-4C7C-B2F3-33A9C3D5BEE5}" uniqueName="date" name="date">
      <xmlColumnPr mapId="6277" xpath="/ns1:reports/report/date" xmlDataType="string"/>
    </tableColumn>
    <tableColumn id="4" xr3:uid="{B4C49936-D06C-42B1-9F3B-1DC930D6863C}" uniqueName="hourstaken" name="hourstaken">
      <xmlColumnPr mapId="6277" xpath="/ns1:reports/report/hourstaken" xmlDataType="decimal"/>
    </tableColumn>
    <tableColumn id="5" xr3:uid="{FAA6BB89-A8D1-4296-8787-A6C512140DD6}" uniqueName="hourssold" name="hourssold">
      <xmlColumnPr mapId="6277" xpath="/ns1:reports/report/hourssold" xmlDataType="decimal"/>
    </tableColumn>
    <tableColumn id="6" xr3:uid="{0FAFEF01-D34D-40A3-8B38-5CF3E018D4BB}" uniqueName="laboursold" name="laboursold">
      <xmlColumnPr mapId="6277" xpath="/ns1:reports/report/laboursold" xmlDataType="decimal"/>
    </tableColumn>
    <tableColumn id="7" xr3:uid="{3655E9A9-9549-459E-86FF-DAC315C22A0A}" uniqueName="labourcos" name="labourcos">
      <xmlColumnPr mapId="6277" xpath="/ns1:reports/report/labourcos" xmlDataType="decimal"/>
    </tableColumn>
    <tableColumn id="8" xr3:uid="{AF9E0D87-B1F2-4E49-98D7-DDF1A94E5E85}" uniqueName="labourprofit" name="labourprofit">
      <xmlColumnPr mapId="6277" xpath="/ns1:reports/report/labourprofit" xmlDataType="decimal"/>
    </tableColumn>
    <tableColumn id="9" xr3:uid="{9F3A2D19-D169-496D-B5E8-15790E345979}" uniqueName="parts" name="parts">
      <xmlColumnPr mapId="6277" xpath="/ns1:reports/report/parts" xmlDataType="decimal"/>
    </tableColumn>
    <tableColumn id="10" xr3:uid="{20D51342-9F23-476E-BC70-C77EB7A06146}" uniqueName="menudiscount" name="menudiscount">
      <xmlColumnPr mapId="6277" xpath="/ns1:reports/report/menudiscount" xmlDataType="decimal"/>
    </tableColumn>
    <tableColumn id="11" xr3:uid="{D254CADD-B9C8-43D0-8E8F-65F23E63D222}" uniqueName="labourrecovery" name="labourrecovery">
      <xmlColumnPr mapId="6277" xpath="/ns1:reports/report/labourrecovery" xmlDataType="decimal"/>
    </tableColumn>
    <tableColumn id="12" xr3:uid="{D2CD362A-4ED1-4484-93C1-0F88402C2BAF}" uniqueName="effpercent" name="effpercent">
      <xmlColumnPr mapId="6277" xpath="/ns1:reports/report/effpercent" xmlDataType="decimal"/>
    </tableColumn>
    <tableColumn id="13" xr3:uid="{EEBCB528-F635-457B-963E-BC58C763E4EB}" uniqueName="attendedtime" name="attendedtime">
      <xmlColumnPr mapId="6277" xpath="/ns1:reports/report/attendedtime" xmlDataType="decimal"/>
    </tableColumn>
    <tableColumn id="14" xr3:uid="{54BC1B9F-D04C-4E60-8C86-1F37E008E170}" uniqueName="clockedonjobs" name="clockedonjobs">
      <xmlColumnPr mapId="6277" xpath="/ns1:reports/report/clockedonjobs" xmlDataType="decimal"/>
    </tableColumn>
    <tableColumn id="15" xr3:uid="{28BE7AE6-EE7C-4880-8FFA-950B4C176301}" uniqueName="nonproductive" name="nonproductive">
      <xmlColumnPr mapId="6277" xpath="/ns1:reports/report/nonproductive" xmlDataType="decimal"/>
    </tableColumn>
    <tableColumn id="16" xr3:uid="{2DB4F2D4-D71F-47F6-853C-689F4C5D60FC}" uniqueName="utilisationpercent" name="utilisationpercent">
      <xmlColumnPr mapId="6277" xpath="/ns1:reports/report/utilisationpercent" xmlDataType="decimal"/>
    </tableColumn>
    <tableColumn id="17" xr3:uid="{03FD201E-FCC8-4CF9-93BD-E9194FF80CED}" uniqueName="wipadj" name="wipadj">
      <xmlColumnPr mapId="6277" xpath="/ns1:reports/report/wipadj" xmlDataType="decimal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N33"/>
  <sheetViews>
    <sheetView tabSelected="1" workbookViewId="0">
      <selection activeCell="D1" sqref="D1"/>
    </sheetView>
  </sheetViews>
  <sheetFormatPr defaultRowHeight="15" x14ac:dyDescent="0.25"/>
  <cols>
    <col min="1" max="1" width="4.140625" customWidth="1"/>
    <col min="2" max="2" width="29.140625" bestFit="1" customWidth="1"/>
    <col min="3" max="3" width="16.5703125" bestFit="1" customWidth="1"/>
    <col min="4" max="4" width="16.28515625" bestFit="1" customWidth="1"/>
    <col min="5" max="5" width="17.5703125" bestFit="1" customWidth="1"/>
    <col min="6" max="6" width="15.42578125" bestFit="1" customWidth="1"/>
    <col min="7" max="7" width="3.28515625" customWidth="1"/>
    <col min="8" max="8" width="13.5703125" bestFit="1" customWidth="1"/>
    <col min="9" max="9" width="22.28515625" bestFit="1" customWidth="1"/>
    <col min="10" max="10" width="17.42578125" bestFit="1" customWidth="1"/>
    <col min="11" max="11" width="18" bestFit="1" customWidth="1"/>
    <col min="12" max="12" width="13.85546875" bestFit="1" customWidth="1"/>
    <col min="13" max="13" width="20.5703125" bestFit="1" customWidth="1"/>
    <col min="14" max="14" width="18.140625" bestFit="1" customWidth="1"/>
  </cols>
  <sheetData>
    <row r="1" spans="1:14" ht="20.25" thickBot="1" x14ac:dyDescent="0.35">
      <c r="B1" s="15" t="s">
        <v>45</v>
      </c>
      <c r="C1" s="17" t="s">
        <v>46</v>
      </c>
      <c r="D1" s="17" t="s">
        <v>81</v>
      </c>
      <c r="E1" s="17" t="s">
        <v>47</v>
      </c>
      <c r="F1" s="17" t="s">
        <v>80</v>
      </c>
      <c r="G1" s="17"/>
      <c r="H1" s="1"/>
    </row>
    <row r="2" spans="1:14" ht="15.75" thickTop="1" x14ac:dyDescent="0.25">
      <c r="D2" t="s">
        <v>79</v>
      </c>
    </row>
    <row r="3" spans="1:14" x14ac:dyDescent="0.25">
      <c r="C3" s="2"/>
      <c r="D3" s="2"/>
      <c r="E3" s="2"/>
      <c r="F3" s="2"/>
      <c r="G3" s="2"/>
    </row>
    <row r="4" spans="1:14" ht="15.75" thickBot="1" x14ac:dyDescent="0.3">
      <c r="B4" s="13" t="s">
        <v>34</v>
      </c>
      <c r="C4" s="14" t="s">
        <v>35</v>
      </c>
      <c r="D4" s="14" t="s">
        <v>38</v>
      </c>
      <c r="E4" s="14" t="s">
        <v>36</v>
      </c>
      <c r="F4" s="14" t="s">
        <v>37</v>
      </c>
      <c r="G4" s="14"/>
      <c r="H4" s="14" t="s">
        <v>39</v>
      </c>
      <c r="I4" s="14" t="s">
        <v>40</v>
      </c>
      <c r="J4" s="14" t="s">
        <v>41</v>
      </c>
      <c r="K4" s="14" t="s">
        <v>44</v>
      </c>
      <c r="L4" s="14" t="s">
        <v>42</v>
      </c>
      <c r="M4" s="14" t="s">
        <v>43</v>
      </c>
      <c r="N4" s="43" t="s">
        <v>70</v>
      </c>
    </row>
    <row r="5" spans="1:14" x14ac:dyDescent="0.25">
      <c r="B5" s="16" t="s">
        <v>31</v>
      </c>
      <c r="C5" s="3">
        <f>SUMIFS(TechsReport.attendedtime,TechsReport.name,"=" &amp;$B5)</f>
        <v>147.4</v>
      </c>
      <c r="D5" s="3">
        <f>SUMIFS(TechsReport.nonproductive,TechsReport.name,"=" &amp;$B5)</f>
        <v>10.709999999999999</v>
      </c>
      <c r="E5" s="3">
        <f>SUMIFS(TechsReport.hourstaken,TechsReport.name,"=" &amp;$B5)</f>
        <v>144.85999999999999</v>
      </c>
      <c r="F5" s="3">
        <f>SUMIFS(TechsReport.hourssold,TechsReport.name,"=" &amp;$B5)</f>
        <v>130.47</v>
      </c>
      <c r="G5" s="3"/>
      <c r="H5" s="3">
        <f>SUMIFS(TechsReport.laboursold,TechsReport.name,"=" &amp;$B5)</f>
        <v>7179.5999999999995</v>
      </c>
      <c r="I5" s="3">
        <f>SUMIFS(TechsReport.menudiscount,TechsReport.name,"=" &amp;$B5)</f>
        <v>0.38999999999999879</v>
      </c>
      <c r="J5" s="6">
        <f t="shared" ref="J5:J7" si="0">H5-I5</f>
        <v>7179.2099999999991</v>
      </c>
      <c r="K5" s="6">
        <f t="shared" ref="K5:K7" si="1">J5/F5</f>
        <v>55.025753046677394</v>
      </c>
      <c r="L5" s="7">
        <f t="shared" ref="L5:L7" si="2">(C5-D5)/C5</f>
        <v>0.92734056987788327</v>
      </c>
      <c r="M5" s="7">
        <f t="shared" ref="M5:M7" si="3">F5/E5</f>
        <v>0.90066270882231125</v>
      </c>
      <c r="N5" s="8">
        <f t="shared" ref="N5:N7" si="4">F5/C5</f>
        <v>0.88514246947082764</v>
      </c>
    </row>
    <row r="6" spans="1:14" x14ac:dyDescent="0.25">
      <c r="B6" s="16" t="s">
        <v>32</v>
      </c>
      <c r="C6" s="3">
        <f>SUMIFS(TechsReport.attendedtime,TechsReport.name,"=" &amp;$B6)</f>
        <v>194.23000000000002</v>
      </c>
      <c r="D6" s="3">
        <f>SUMIFS(TechsReport.nonproductive,TechsReport.name,"=" &amp;$B6)</f>
        <v>7.88</v>
      </c>
      <c r="E6" s="3">
        <f>SUMIFS(TechsReport.hourstaken,TechsReport.name,"=" &amp;$B6)</f>
        <v>181.20000000000005</v>
      </c>
      <c r="F6" s="3">
        <f>SUMIFS(TechsReport.hourssold,TechsReport.name,"=" &amp;$B6)</f>
        <v>132.70999999999998</v>
      </c>
      <c r="G6" s="3"/>
      <c r="H6" s="3">
        <f>SUMIFS(TechsReport.laboursold,TechsReport.name,"=" &amp;$B6)</f>
        <v>8415</v>
      </c>
      <c r="I6" s="3">
        <f>SUMIFS(TechsReport.menudiscount,TechsReport.name,"=" &amp;$B6)</f>
        <v>-119.77000000000001</v>
      </c>
      <c r="J6" s="6">
        <f t="shared" si="0"/>
        <v>8534.77</v>
      </c>
      <c r="K6" s="6">
        <f t="shared" si="1"/>
        <v>64.311430939642847</v>
      </c>
      <c r="L6" s="7">
        <f t="shared" si="2"/>
        <v>0.95942954229521704</v>
      </c>
      <c r="M6" s="7">
        <f t="shared" si="3"/>
        <v>0.73239514348785839</v>
      </c>
      <c r="N6" s="8">
        <f t="shared" si="4"/>
        <v>0.68326211192915598</v>
      </c>
    </row>
    <row r="7" spans="1:14" x14ac:dyDescent="0.25">
      <c r="B7" s="16" t="s">
        <v>33</v>
      </c>
      <c r="C7" s="3">
        <f>SUMIFS(TechsReport.attendedtime,TechsReport.name,"=" &amp;$B7)</f>
        <v>168.95</v>
      </c>
      <c r="D7" s="3">
        <f>SUMIFS(TechsReport.nonproductive,TechsReport.name,"=" &amp;$B7)</f>
        <v>3.0199999999999996</v>
      </c>
      <c r="E7" s="3">
        <f>SUMIFS(TechsReport.hourstaken,TechsReport.name,"=" &amp;$B7)</f>
        <v>164.1</v>
      </c>
      <c r="F7" s="3">
        <f>SUMIFS(TechsReport.hourssold,TechsReport.name,"=" &amp;$B7)</f>
        <v>145.38</v>
      </c>
      <c r="G7" s="3"/>
      <c r="H7" s="3">
        <f>SUMIFS(TechsReport.laboursold,TechsReport.name,"=" &amp;$B7)</f>
        <v>9411.0300000000007</v>
      </c>
      <c r="I7" s="3">
        <f>SUMIFS(TechsReport.menudiscount,TechsReport.name,"=" &amp;$B7)</f>
        <v>-23.32</v>
      </c>
      <c r="J7" s="6">
        <f t="shared" si="0"/>
        <v>9434.35</v>
      </c>
      <c r="K7" s="6">
        <f t="shared" si="1"/>
        <v>64.894414637501725</v>
      </c>
      <c r="L7" s="7">
        <f t="shared" si="2"/>
        <v>0.98212488902042017</v>
      </c>
      <c r="M7" s="7">
        <f t="shared" si="3"/>
        <v>0.88592321755027426</v>
      </c>
      <c r="N7" s="8">
        <f t="shared" si="4"/>
        <v>0.86049126960639244</v>
      </c>
    </row>
    <row r="8" spans="1:14" x14ac:dyDescent="0.25">
      <c r="B8" s="16" t="s">
        <v>76</v>
      </c>
      <c r="C8" s="3">
        <f>SUMIFS(TechsReport.attendedtime,TechsReport.name,"=" &amp;$B8)</f>
        <v>0</v>
      </c>
      <c r="D8" s="3">
        <f>SUMIFS(TechsReport.nonproductive,TechsReport.name,"=" &amp;$B8)</f>
        <v>0</v>
      </c>
      <c r="E8" s="3">
        <f>SUMIFS(TechsReport.hourstaken,TechsReport.name,"=" &amp;$B8)</f>
        <v>0</v>
      </c>
      <c r="F8" s="3">
        <f>SUMIFS(TechsReport.hourssold,TechsReport.name,"=" &amp;$B8)</f>
        <v>0</v>
      </c>
      <c r="G8" s="3"/>
      <c r="H8" s="3">
        <f>SUMIFS(TechsReport.laboursold,TechsReport.name,"=" &amp;$B8)</f>
        <v>0</v>
      </c>
      <c r="I8" s="3">
        <f>SUMIFS(TechsReport.menudiscount,TechsReport.name,"=" &amp;$B8)</f>
        <v>0</v>
      </c>
      <c r="J8" s="6">
        <f t="shared" ref="J8:J9" si="5">H8-I8</f>
        <v>0</v>
      </c>
      <c r="K8" s="6" t="e">
        <f t="shared" ref="K8:K9" si="6">J8/F8</f>
        <v>#DIV/0!</v>
      </c>
      <c r="L8" s="7" t="e">
        <f t="shared" ref="L8:L9" si="7">(C8-D8)/C8</f>
        <v>#DIV/0!</v>
      </c>
      <c r="M8" s="7" t="e">
        <f t="shared" ref="M8:M9" si="8">F8/E8</f>
        <v>#DIV/0!</v>
      </c>
      <c r="N8" s="8" t="e">
        <f t="shared" ref="N8:N9" si="9">F8/C8</f>
        <v>#DIV/0!</v>
      </c>
    </row>
    <row r="9" spans="1:14" x14ac:dyDescent="0.25">
      <c r="B9" s="16" t="s">
        <v>77</v>
      </c>
      <c r="C9" s="3">
        <f>SUMIFS(TechsReport.attendedtime,TechsReport.name,"=" &amp;$B9)</f>
        <v>102.07000000000001</v>
      </c>
      <c r="D9" s="3">
        <f>SUMIFS(TechsReport.nonproductive,TechsReport.name,"=" &amp;$B9)</f>
        <v>11.15</v>
      </c>
      <c r="E9" s="3">
        <f>SUMIFS(TechsReport.hourstaken,TechsReport.name,"=" &amp;$B9)</f>
        <v>102.27000000000001</v>
      </c>
      <c r="F9" s="3">
        <f>SUMIFS(TechsReport.hourssold,TechsReport.name,"=" &amp;$B9)</f>
        <v>65.16</v>
      </c>
      <c r="G9" s="3"/>
      <c r="H9" s="3">
        <f>SUMIFS(TechsReport.laboursold,TechsReport.name,"=" &amp;$B9)</f>
        <v>4160.67</v>
      </c>
      <c r="I9" s="3">
        <f>SUMIFS(TechsReport.menudiscount,TechsReport.name,"=" &amp;$B9)</f>
        <v>-35.770000000000003</v>
      </c>
      <c r="J9" s="6">
        <f t="shared" si="5"/>
        <v>4196.4400000000005</v>
      </c>
      <c r="K9" s="6">
        <f t="shared" si="6"/>
        <v>64.402087170042989</v>
      </c>
      <c r="L9" s="7">
        <f t="shared" si="7"/>
        <v>0.89076124228470654</v>
      </c>
      <c r="M9" s="7">
        <f t="shared" si="8"/>
        <v>0.6371369903197418</v>
      </c>
      <c r="N9" s="8">
        <f t="shared" si="9"/>
        <v>0.63838542176937385</v>
      </c>
    </row>
    <row r="10" spans="1:14" x14ac:dyDescent="0.25">
      <c r="B10" s="3"/>
      <c r="C10" s="4"/>
      <c r="D10" s="4"/>
      <c r="E10" s="4"/>
    </row>
    <row r="11" spans="1:14" ht="15.75" thickBot="1" x14ac:dyDescent="0.3">
      <c r="B11" s="9" t="s">
        <v>49</v>
      </c>
      <c r="C11" s="9">
        <f t="shared" ref="C11:J11" si="10">SUM(C5:C10)</f>
        <v>612.65</v>
      </c>
      <c r="D11" s="9">
        <f t="shared" si="10"/>
        <v>32.76</v>
      </c>
      <c r="E11" s="9">
        <f t="shared" si="10"/>
        <v>592.43000000000006</v>
      </c>
      <c r="F11" s="9">
        <f t="shared" si="10"/>
        <v>473.71999999999991</v>
      </c>
      <c r="G11" s="9"/>
      <c r="H11" s="9">
        <f t="shared" si="10"/>
        <v>29166.299999999996</v>
      </c>
      <c r="I11" s="9">
        <f t="shared" si="10"/>
        <v>-178.47000000000003</v>
      </c>
      <c r="J11" s="9">
        <f t="shared" si="10"/>
        <v>29344.770000000004</v>
      </c>
      <c r="K11" s="10">
        <f t="shared" ref="K11" si="11">J11/F11</f>
        <v>61.945389681668516</v>
      </c>
      <c r="L11" s="11">
        <f t="shared" ref="L11" si="12">(C11-D11)/C11</f>
        <v>0.94652738104953893</v>
      </c>
      <c r="M11" s="11">
        <f t="shared" ref="M11" si="13">F11/E11</f>
        <v>0.79962189625778546</v>
      </c>
      <c r="N11" s="12">
        <f>F11/C11</f>
        <v>0.77323104545825505</v>
      </c>
    </row>
    <row r="12" spans="1:14" s="16" customFormat="1" ht="15.75" thickTop="1" x14ac:dyDescent="0.25"/>
    <row r="13" spans="1:14" x14ac:dyDescent="0.25">
      <c r="A13" s="18" t="s">
        <v>48</v>
      </c>
      <c r="B13" s="16" t="s">
        <v>30</v>
      </c>
      <c r="C13" s="3">
        <f>SUMIFS(TechsReport.attendedtime,TechsReport.name,"=" &amp;$B13)</f>
        <v>191.52</v>
      </c>
      <c r="D13" s="3">
        <f>SUMIFS(TechsReport.nonproductive,TechsReport.name,"=" &amp;$B13)</f>
        <v>158.87999999999997</v>
      </c>
      <c r="E13" s="3">
        <f>SUMIFS(TechsReport.hourstaken,TechsReport.name,"=" &amp;$B13)</f>
        <v>31.65</v>
      </c>
      <c r="F13" s="3">
        <f>SUMIFS(TechsReport.hourssold,TechsReport.name,"=" &amp;$B13)</f>
        <v>13.39</v>
      </c>
      <c r="G13" s="3"/>
      <c r="H13" s="3">
        <f>SUMIFS(TechsReport.laboursold,TechsReport.name,"=" &amp;$B13)</f>
        <v>790.98</v>
      </c>
      <c r="I13" s="3">
        <f>SUMIFS(TechsReport.menudiscount,TechsReport.name,"=" &amp;$B13)</f>
        <v>0</v>
      </c>
      <c r="J13" s="6">
        <f>H13-I13</f>
        <v>790.98</v>
      </c>
      <c r="K13" s="6">
        <f>J13/F13</f>
        <v>59.072442120985812</v>
      </c>
      <c r="L13" s="7">
        <f>(C13-D13)/C13</f>
        <v>0.17042606516290748</v>
      </c>
      <c r="M13" s="7">
        <f>F13/E13</f>
        <v>0.42306477093206957</v>
      </c>
      <c r="N13" s="8">
        <f>F13/C13</f>
        <v>6.9914369256474512E-2</v>
      </c>
    </row>
    <row r="14" spans="1:14" x14ac:dyDescent="0.25">
      <c r="B14" s="4"/>
      <c r="C14" s="4"/>
      <c r="D14" s="4"/>
      <c r="E14" s="4"/>
    </row>
    <row r="15" spans="1:14" ht="15.75" thickBot="1" x14ac:dyDescent="0.3">
      <c r="B15" s="9" t="s">
        <v>50</v>
      </c>
      <c r="C15" s="9">
        <f>C13+C11</f>
        <v>804.17</v>
      </c>
      <c r="D15" s="9">
        <f t="shared" ref="D15:J15" si="14">D13+D11</f>
        <v>191.63999999999996</v>
      </c>
      <c r="E15" s="9">
        <f t="shared" si="14"/>
        <v>624.08000000000004</v>
      </c>
      <c r="F15" s="9">
        <f t="shared" si="14"/>
        <v>487.1099999999999</v>
      </c>
      <c r="G15" s="9"/>
      <c r="H15" s="9">
        <f t="shared" si="14"/>
        <v>29957.279999999995</v>
      </c>
      <c r="I15" s="9">
        <f t="shared" si="14"/>
        <v>-178.47000000000003</v>
      </c>
      <c r="J15" s="9">
        <f t="shared" si="14"/>
        <v>30135.750000000004</v>
      </c>
      <c r="K15" s="10">
        <f>J15/F15</f>
        <v>61.866416209891007</v>
      </c>
      <c r="L15" s="11">
        <f>(C15-D15)/C15</f>
        <v>0.76169217951428181</v>
      </c>
      <c r="M15" s="11">
        <f>F15/E15</f>
        <v>0.78052493270093559</v>
      </c>
      <c r="N15" s="12">
        <f>F15/C15</f>
        <v>0.60573013168857326</v>
      </c>
    </row>
    <row r="16" spans="1:14" ht="15.75" thickTop="1" x14ac:dyDescent="0.25">
      <c r="B16" s="4"/>
      <c r="C16" s="4"/>
      <c r="D16" s="4"/>
      <c r="E16" s="4"/>
    </row>
    <row r="17" spans="2:12" ht="15.75" thickBot="1" x14ac:dyDescent="0.3">
      <c r="B17" s="24" t="s">
        <v>34</v>
      </c>
      <c r="C17" s="25" t="s">
        <v>55</v>
      </c>
      <c r="D17" s="26" t="s">
        <v>56</v>
      </c>
      <c r="E17" s="26" t="s">
        <v>58</v>
      </c>
      <c r="F17" s="26" t="s">
        <v>57</v>
      </c>
      <c r="G17" s="42"/>
      <c r="H17" s="39" t="s">
        <v>53</v>
      </c>
      <c r="I17" s="39" t="s">
        <v>60</v>
      </c>
      <c r="J17" s="40" t="s">
        <v>54</v>
      </c>
      <c r="K17" s="39" t="s">
        <v>71</v>
      </c>
      <c r="L17" s="20" t="s">
        <v>53</v>
      </c>
    </row>
    <row r="18" spans="2:12" x14ac:dyDescent="0.25">
      <c r="B18" s="4"/>
      <c r="C18" s="4"/>
      <c r="D18" s="4"/>
      <c r="E18" s="4"/>
      <c r="I18" t="s">
        <v>53</v>
      </c>
      <c r="J18" t="s">
        <v>53</v>
      </c>
      <c r="K18" t="s">
        <v>53</v>
      </c>
      <c r="L18" t="s">
        <v>53</v>
      </c>
    </row>
    <row r="19" spans="2:12" x14ac:dyDescent="0.25">
      <c r="B19" s="16" t="s">
        <v>31</v>
      </c>
      <c r="C19" s="4">
        <v>21</v>
      </c>
      <c r="D19" s="22">
        <v>373</v>
      </c>
      <c r="E19" s="22">
        <f>SUM(D19*C19)</f>
        <v>7833</v>
      </c>
      <c r="F19" s="45">
        <f t="shared" ref="F19:F21" si="15">SUM(E19-H5)</f>
        <v>653.40000000000055</v>
      </c>
      <c r="G19" s="41"/>
      <c r="H19" s="44" t="s">
        <v>59</v>
      </c>
      <c r="I19" s="45">
        <f>SUM(J24*C27)*J25/C26</f>
        <v>387.5</v>
      </c>
      <c r="J19" s="46">
        <f>SUM(I19*C26)-1533</f>
        <v>23654.5</v>
      </c>
      <c r="K19" s="45">
        <f>SUM(J19-J11)</f>
        <v>-5690.2700000000041</v>
      </c>
      <c r="L19" s="23" t="s">
        <v>53</v>
      </c>
    </row>
    <row r="20" spans="2:12" x14ac:dyDescent="0.25">
      <c r="B20" s="16" t="s">
        <v>32</v>
      </c>
      <c r="C20" s="4">
        <v>12</v>
      </c>
      <c r="D20" s="22">
        <v>373</v>
      </c>
      <c r="E20" s="22">
        <f t="shared" ref="E20:E22" si="16">SUM(D20*C20)</f>
        <v>4476</v>
      </c>
      <c r="F20" s="45">
        <f t="shared" si="15"/>
        <v>-3939</v>
      </c>
      <c r="G20" s="41"/>
      <c r="H20" s="44" t="s">
        <v>62</v>
      </c>
      <c r="I20" s="45">
        <f>SUM(C29*C30)*C31/C28</f>
        <v>23.25</v>
      </c>
      <c r="J20" s="46">
        <f>SUM(I20*C28)</f>
        <v>372</v>
      </c>
      <c r="K20" s="45">
        <f>SUM(J20-J13)</f>
        <v>-418.98</v>
      </c>
      <c r="L20" t="s">
        <v>53</v>
      </c>
    </row>
    <row r="21" spans="2:12" x14ac:dyDescent="0.25">
      <c r="B21" s="16" t="s">
        <v>33</v>
      </c>
      <c r="C21" s="4">
        <v>11</v>
      </c>
      <c r="D21" s="22">
        <v>373</v>
      </c>
      <c r="E21" s="22">
        <f t="shared" si="16"/>
        <v>4103</v>
      </c>
      <c r="F21" s="45">
        <f t="shared" si="15"/>
        <v>-5308.0300000000007</v>
      </c>
      <c r="G21" s="41"/>
      <c r="H21" s="34" t="s">
        <v>72</v>
      </c>
      <c r="I21" s="35"/>
      <c r="J21" s="36">
        <f>SUM(J19:J20)</f>
        <v>24026.5</v>
      </c>
      <c r="K21" s="37">
        <f>SUM(K19:K20)</f>
        <v>-6109.2500000000036</v>
      </c>
      <c r="L21" s="23" t="s">
        <v>53</v>
      </c>
    </row>
    <row r="22" spans="2:12" x14ac:dyDescent="0.25">
      <c r="B22" s="16" t="s">
        <v>76</v>
      </c>
      <c r="C22" s="4">
        <v>0</v>
      </c>
      <c r="D22" s="22">
        <v>373</v>
      </c>
      <c r="E22" s="22">
        <f t="shared" si="16"/>
        <v>0</v>
      </c>
      <c r="F22" s="45">
        <f>SUM(E22-H8)</f>
        <v>0</v>
      </c>
      <c r="G22" s="41"/>
      <c r="H22" s="34" t="s">
        <v>67</v>
      </c>
      <c r="I22" s="38">
        <f>SUM(I19*3%)+I19</f>
        <v>399.125</v>
      </c>
      <c r="J22" s="36">
        <f>SUM(I22)*C26+J20-1375</f>
        <v>24940.125</v>
      </c>
      <c r="K22" s="37">
        <f>SUM(J22-J15)</f>
        <v>-5195.6250000000036</v>
      </c>
    </row>
    <row r="23" spans="2:12" hidden="1" x14ac:dyDescent="0.25">
      <c r="B23" s="16" t="s">
        <v>53</v>
      </c>
      <c r="C23" s="21" t="s">
        <v>53</v>
      </c>
      <c r="D23" s="22" t="s">
        <v>53</v>
      </c>
      <c r="E23" s="19"/>
      <c r="F23" s="23"/>
      <c r="G23" s="23"/>
      <c r="H23" s="34" t="s">
        <v>76</v>
      </c>
      <c r="I23" s="38">
        <f>SUM(I19*6%)+I19</f>
        <v>410.75</v>
      </c>
      <c r="J23" s="36">
        <f>SUM(I23)*C26+J20</f>
        <v>27070.75</v>
      </c>
      <c r="K23" s="37">
        <f>SUM(J23-J15)</f>
        <v>-3065.0000000000036</v>
      </c>
    </row>
    <row r="24" spans="2:12" x14ac:dyDescent="0.25">
      <c r="B24" s="16" t="s">
        <v>77</v>
      </c>
      <c r="C24" s="4">
        <v>21</v>
      </c>
      <c r="D24" s="22">
        <v>303</v>
      </c>
      <c r="E24" s="22">
        <f>SUM(D24*C24)</f>
        <v>6363</v>
      </c>
      <c r="F24" s="45">
        <f>SUM(E24-H9)</f>
        <v>2202.33</v>
      </c>
      <c r="G24" s="23"/>
      <c r="H24" s="47" t="s">
        <v>68</v>
      </c>
      <c r="I24" s="48"/>
      <c r="J24" s="49">
        <v>62.5</v>
      </c>
      <c r="K24" s="50">
        <f>SUM(K11)</f>
        <v>61.945389681668516</v>
      </c>
    </row>
    <row r="25" spans="2:12" ht="15.75" thickBot="1" x14ac:dyDescent="0.3">
      <c r="B25" s="16" t="s">
        <v>53</v>
      </c>
      <c r="C25" s="21"/>
      <c r="D25" s="22"/>
      <c r="E25" s="19"/>
      <c r="F25" s="23"/>
      <c r="H25" s="47" t="s">
        <v>69</v>
      </c>
      <c r="I25" s="48"/>
      <c r="J25" s="51">
        <v>0.8</v>
      </c>
      <c r="K25" s="50">
        <f>SUM(N11)*100</f>
        <v>77.323104545825501</v>
      </c>
    </row>
    <row r="26" spans="2:12" x14ac:dyDescent="0.25">
      <c r="B26" s="27" t="s">
        <v>61</v>
      </c>
      <c r="C26" s="28">
        <f>SUM(C19:C24)</f>
        <v>65</v>
      </c>
      <c r="D26" s="19" t="s">
        <v>53</v>
      </c>
    </row>
    <row r="27" spans="2:12" x14ac:dyDescent="0.25">
      <c r="B27" s="29" t="s">
        <v>63</v>
      </c>
      <c r="C27" s="30">
        <f>SUM(C26*7.75)</f>
        <v>503.75</v>
      </c>
      <c r="D27" s="19" t="s">
        <v>53</v>
      </c>
    </row>
    <row r="28" spans="2:12" x14ac:dyDescent="0.25">
      <c r="B28" s="31" t="s">
        <v>73</v>
      </c>
      <c r="C28" s="52">
        <v>16</v>
      </c>
      <c r="D28" s="19"/>
    </row>
    <row r="29" spans="2:12" x14ac:dyDescent="0.25">
      <c r="B29" s="29" t="s">
        <v>64</v>
      </c>
      <c r="C29" s="30">
        <f>SUM(C28*7.75)</f>
        <v>124</v>
      </c>
    </row>
    <row r="30" spans="2:12" x14ac:dyDescent="0.25">
      <c r="B30" s="31" t="s">
        <v>65</v>
      </c>
      <c r="C30" s="30">
        <v>60</v>
      </c>
    </row>
    <row r="31" spans="2:12" ht="15.75" thickBot="1" x14ac:dyDescent="0.3">
      <c r="B31" s="32" t="s">
        <v>66</v>
      </c>
      <c r="C31" s="33">
        <v>0.05</v>
      </c>
    </row>
    <row r="33" spans="2:2" x14ac:dyDescent="0.25">
      <c r="B33" t="s">
        <v>53</v>
      </c>
    </row>
  </sheetData>
  <pageMargins left="0.70866141732283472" right="0.70866141732283472" top="0.74803149606299213" bottom="0.74803149606299213" header="0.31496062992125984" footer="0.31496062992125984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LoadInvoices">
                <anchor moveWithCells="1" sizeWithCells="1">
                  <from>
                    <xdr:col>12</xdr:col>
                    <xdr:colOff>876300</xdr:colOff>
                    <xdr:row>19</xdr:row>
                    <xdr:rowOff>38100</xdr:rowOff>
                  </from>
                  <to>
                    <xdr:col>13</xdr:col>
                    <xdr:colOff>1133475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57FD6-979F-450C-A653-2386D6DB9FB0}">
  <dimension ref="A1:Q218"/>
  <sheetViews>
    <sheetView workbookViewId="0">
      <selection sqref="A1:Q2"/>
    </sheetView>
  </sheetViews>
  <sheetFormatPr defaultRowHeight="15" x14ac:dyDescent="0.25"/>
  <cols>
    <col min="1" max="1" width="5.5703125" bestFit="1" customWidth="1"/>
    <col min="2" max="2" width="16.28515625" bestFit="1" customWidth="1"/>
    <col min="3" max="3" width="8.7109375" bestFit="1" customWidth="1"/>
    <col min="4" max="4" width="13.28515625" bestFit="1" customWidth="1"/>
    <col min="5" max="5" width="12" bestFit="1" customWidth="1"/>
    <col min="6" max="6" width="12.7109375" bestFit="1" customWidth="1"/>
    <col min="7" max="7" width="11.85546875" bestFit="1" customWidth="1"/>
    <col min="8" max="8" width="14" bestFit="1" customWidth="1"/>
    <col min="9" max="9" width="8" bestFit="1" customWidth="1"/>
    <col min="10" max="10" width="16.140625" bestFit="1" customWidth="1"/>
    <col min="11" max="11" width="16.85546875" bestFit="1" customWidth="1"/>
    <col min="12" max="12" width="12.7109375" bestFit="1" customWidth="1"/>
    <col min="13" max="13" width="15.7109375" bestFit="1" customWidth="1"/>
    <col min="14" max="14" width="16.140625" bestFit="1" customWidth="1"/>
    <col min="15" max="15" width="16.42578125" bestFit="1" customWidth="1"/>
    <col min="16" max="16" width="19.28515625" bestFit="1" customWidth="1"/>
    <col min="17" max="17" width="9.28515625" bestFit="1" customWidth="1"/>
  </cols>
  <sheetData>
    <row r="1" spans="1:17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N1" t="s">
        <v>22</v>
      </c>
      <c r="O1" t="s">
        <v>23</v>
      </c>
      <c r="P1" t="s">
        <v>24</v>
      </c>
      <c r="Q1" t="s">
        <v>25</v>
      </c>
    </row>
    <row r="2" spans="1:17" x14ac:dyDescent="0.25">
      <c r="A2" s="5" t="s">
        <v>26</v>
      </c>
      <c r="B2" s="5" t="s">
        <v>30</v>
      </c>
      <c r="C2" s="5" t="s">
        <v>82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M2">
        <v>0</v>
      </c>
      <c r="N2">
        <v>0</v>
      </c>
      <c r="O2">
        <v>0</v>
      </c>
      <c r="Q2">
        <v>0</v>
      </c>
    </row>
    <row r="3" spans="1:17" x14ac:dyDescent="0.25">
      <c r="A3" s="5" t="s">
        <v>26</v>
      </c>
      <c r="B3" s="5" t="s">
        <v>30</v>
      </c>
      <c r="C3" s="5" t="s">
        <v>83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M3">
        <v>17.52</v>
      </c>
      <c r="N3">
        <v>0</v>
      </c>
      <c r="O3">
        <v>17.52</v>
      </c>
      <c r="P3">
        <v>0</v>
      </c>
      <c r="Q3">
        <v>0</v>
      </c>
    </row>
    <row r="4" spans="1:17" x14ac:dyDescent="0.25">
      <c r="A4" s="5" t="s">
        <v>26</v>
      </c>
      <c r="B4" s="5" t="s">
        <v>30</v>
      </c>
      <c r="C4" s="5" t="s">
        <v>84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M4">
        <v>8.18</v>
      </c>
      <c r="N4">
        <v>0</v>
      </c>
      <c r="O4">
        <v>8.18</v>
      </c>
      <c r="P4">
        <v>0</v>
      </c>
      <c r="Q4">
        <v>0</v>
      </c>
    </row>
    <row r="5" spans="1:17" x14ac:dyDescent="0.25">
      <c r="A5" s="5" t="s">
        <v>26</v>
      </c>
      <c r="B5" s="5" t="s">
        <v>30</v>
      </c>
      <c r="C5" s="5" t="s">
        <v>85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M5">
        <v>0</v>
      </c>
      <c r="N5">
        <v>0</v>
      </c>
      <c r="O5">
        <v>0</v>
      </c>
      <c r="Q5">
        <v>0</v>
      </c>
    </row>
    <row r="6" spans="1:17" x14ac:dyDescent="0.25">
      <c r="A6" s="5" t="s">
        <v>26</v>
      </c>
      <c r="B6" s="5" t="s">
        <v>30</v>
      </c>
      <c r="C6" s="5" t="s">
        <v>86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M6">
        <v>9.66</v>
      </c>
      <c r="N6">
        <v>0</v>
      </c>
      <c r="O6">
        <v>9.66</v>
      </c>
      <c r="P6">
        <v>0</v>
      </c>
      <c r="Q6">
        <v>0</v>
      </c>
    </row>
    <row r="7" spans="1:17" x14ac:dyDescent="0.25">
      <c r="A7" s="5" t="s">
        <v>26</v>
      </c>
      <c r="B7" s="5" t="s">
        <v>30</v>
      </c>
      <c r="C7" s="5" t="s">
        <v>87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M7">
        <v>0</v>
      </c>
      <c r="N7">
        <v>0</v>
      </c>
      <c r="O7">
        <v>0</v>
      </c>
      <c r="Q7">
        <v>0</v>
      </c>
    </row>
    <row r="8" spans="1:17" x14ac:dyDescent="0.25">
      <c r="A8" s="5" t="s">
        <v>26</v>
      </c>
      <c r="B8" s="5" t="s">
        <v>30</v>
      </c>
      <c r="C8" s="5" t="s">
        <v>88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M8">
        <v>0</v>
      </c>
      <c r="N8">
        <v>0</v>
      </c>
      <c r="O8">
        <v>0</v>
      </c>
      <c r="Q8">
        <v>0</v>
      </c>
    </row>
    <row r="9" spans="1:17" x14ac:dyDescent="0.25">
      <c r="A9" s="5" t="s">
        <v>26</v>
      </c>
      <c r="B9" s="5" t="s">
        <v>30</v>
      </c>
      <c r="C9" s="5" t="s">
        <v>89</v>
      </c>
      <c r="D9">
        <v>0.11</v>
      </c>
      <c r="E9">
        <v>0.01</v>
      </c>
      <c r="F9">
        <v>0.6</v>
      </c>
      <c r="G9">
        <v>0</v>
      </c>
      <c r="H9">
        <v>0.6</v>
      </c>
      <c r="I9">
        <v>0</v>
      </c>
      <c r="J9">
        <v>0</v>
      </c>
      <c r="K9">
        <v>60</v>
      </c>
      <c r="L9">
        <v>9.09</v>
      </c>
      <c r="M9">
        <v>8.66</v>
      </c>
      <c r="N9">
        <v>0.11</v>
      </c>
      <c r="O9">
        <v>8.5500000000000007</v>
      </c>
      <c r="P9">
        <v>1.27</v>
      </c>
      <c r="Q9">
        <v>0</v>
      </c>
    </row>
    <row r="10" spans="1:17" x14ac:dyDescent="0.25">
      <c r="A10" s="5" t="s">
        <v>26</v>
      </c>
      <c r="B10" s="5" t="s">
        <v>30</v>
      </c>
      <c r="C10" s="5" t="s">
        <v>90</v>
      </c>
      <c r="D10">
        <v>0.67</v>
      </c>
      <c r="E10">
        <v>0.19</v>
      </c>
      <c r="F10">
        <v>13.71</v>
      </c>
      <c r="G10">
        <v>0</v>
      </c>
      <c r="H10">
        <v>13.71</v>
      </c>
      <c r="I10">
        <v>19.420000000000002</v>
      </c>
      <c r="J10">
        <v>0</v>
      </c>
      <c r="K10">
        <v>72</v>
      </c>
      <c r="L10">
        <v>28.36</v>
      </c>
      <c r="M10">
        <v>11.21</v>
      </c>
      <c r="N10">
        <v>1.28</v>
      </c>
      <c r="O10">
        <v>9.93</v>
      </c>
      <c r="P10">
        <v>11.42</v>
      </c>
      <c r="Q10">
        <v>0</v>
      </c>
    </row>
    <row r="11" spans="1:17" x14ac:dyDescent="0.25">
      <c r="A11" s="5" t="s">
        <v>26</v>
      </c>
      <c r="B11" s="5" t="s">
        <v>30</v>
      </c>
      <c r="C11" s="5" t="s">
        <v>91</v>
      </c>
      <c r="D11">
        <v>1.66</v>
      </c>
      <c r="E11">
        <v>0.59</v>
      </c>
      <c r="F11">
        <v>39.15</v>
      </c>
      <c r="G11">
        <v>0</v>
      </c>
      <c r="H11">
        <v>39.15</v>
      </c>
      <c r="I11">
        <v>15.26</v>
      </c>
      <c r="J11">
        <v>0</v>
      </c>
      <c r="K11">
        <v>66</v>
      </c>
      <c r="L11">
        <v>35.54</v>
      </c>
      <c r="M11">
        <v>8.68</v>
      </c>
      <c r="N11">
        <v>2.6</v>
      </c>
      <c r="O11">
        <v>6.08</v>
      </c>
      <c r="P11">
        <v>29.95</v>
      </c>
      <c r="Q11">
        <v>0</v>
      </c>
    </row>
    <row r="12" spans="1:17" x14ac:dyDescent="0.25">
      <c r="A12" s="5" t="s">
        <v>26</v>
      </c>
      <c r="B12" s="5" t="s">
        <v>30</v>
      </c>
      <c r="C12" s="5" t="s">
        <v>92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M12">
        <v>0</v>
      </c>
      <c r="N12">
        <v>0</v>
      </c>
      <c r="O12">
        <v>0</v>
      </c>
      <c r="Q12">
        <v>0</v>
      </c>
    </row>
    <row r="13" spans="1:17" x14ac:dyDescent="0.25">
      <c r="A13" s="5" t="s">
        <v>26</v>
      </c>
      <c r="B13" s="5" t="s">
        <v>30</v>
      </c>
      <c r="C13" s="5" t="s">
        <v>93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M13">
        <v>0</v>
      </c>
      <c r="N13">
        <v>0</v>
      </c>
      <c r="O13">
        <v>0</v>
      </c>
      <c r="Q13">
        <v>0</v>
      </c>
    </row>
    <row r="14" spans="1:17" x14ac:dyDescent="0.25">
      <c r="A14" s="5" t="s">
        <v>26</v>
      </c>
      <c r="B14" s="5" t="s">
        <v>30</v>
      </c>
      <c r="C14" s="5" t="s">
        <v>94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M14">
        <v>0</v>
      </c>
      <c r="N14">
        <v>0</v>
      </c>
      <c r="O14">
        <v>0</v>
      </c>
      <c r="Q14">
        <v>0</v>
      </c>
    </row>
    <row r="15" spans="1:17" x14ac:dyDescent="0.25">
      <c r="A15" s="5" t="s">
        <v>26</v>
      </c>
      <c r="B15" s="5" t="s">
        <v>30</v>
      </c>
      <c r="C15" s="5" t="s">
        <v>95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M15">
        <v>0</v>
      </c>
      <c r="N15">
        <v>0</v>
      </c>
      <c r="O15">
        <v>0</v>
      </c>
      <c r="Q15">
        <v>0</v>
      </c>
    </row>
    <row r="16" spans="1:17" x14ac:dyDescent="0.25">
      <c r="A16" s="5" t="s">
        <v>26</v>
      </c>
      <c r="B16" s="5" t="s">
        <v>30</v>
      </c>
      <c r="C16" s="5" t="s">
        <v>96</v>
      </c>
      <c r="D16">
        <v>1.1299999999999999</v>
      </c>
      <c r="E16">
        <v>0.87</v>
      </c>
      <c r="F16">
        <v>74.16</v>
      </c>
      <c r="G16">
        <v>0</v>
      </c>
      <c r="H16">
        <v>74.16</v>
      </c>
      <c r="I16">
        <v>0</v>
      </c>
      <c r="J16">
        <v>0</v>
      </c>
      <c r="K16">
        <v>85</v>
      </c>
      <c r="L16">
        <v>76.989999999999995</v>
      </c>
      <c r="M16">
        <v>9.42</v>
      </c>
      <c r="N16">
        <v>1.1299999999999999</v>
      </c>
      <c r="O16">
        <v>8.2899999999999991</v>
      </c>
      <c r="P16">
        <v>12</v>
      </c>
      <c r="Q16">
        <v>0</v>
      </c>
    </row>
    <row r="17" spans="1:17" x14ac:dyDescent="0.25">
      <c r="A17" s="5" t="s">
        <v>26</v>
      </c>
      <c r="B17" s="5" t="s">
        <v>30</v>
      </c>
      <c r="C17" s="5" t="s">
        <v>97</v>
      </c>
      <c r="D17">
        <v>0.73</v>
      </c>
      <c r="E17">
        <v>0.5</v>
      </c>
      <c r="F17">
        <v>42.5</v>
      </c>
      <c r="G17">
        <v>0</v>
      </c>
      <c r="H17">
        <v>42.5</v>
      </c>
      <c r="I17">
        <v>0</v>
      </c>
      <c r="J17">
        <v>0</v>
      </c>
      <c r="K17">
        <v>85</v>
      </c>
      <c r="L17">
        <v>68.489999999999995</v>
      </c>
      <c r="M17">
        <v>10.38</v>
      </c>
      <c r="N17">
        <v>1.56</v>
      </c>
      <c r="O17">
        <v>8.82</v>
      </c>
      <c r="P17">
        <v>15.03</v>
      </c>
      <c r="Q17">
        <v>0</v>
      </c>
    </row>
    <row r="18" spans="1:17" x14ac:dyDescent="0.25">
      <c r="A18" s="5" t="s">
        <v>26</v>
      </c>
      <c r="B18" s="5" t="s">
        <v>30</v>
      </c>
      <c r="C18" s="5" t="s">
        <v>98</v>
      </c>
      <c r="D18">
        <v>4.24</v>
      </c>
      <c r="E18">
        <v>1.5</v>
      </c>
      <c r="F18">
        <v>118.66</v>
      </c>
      <c r="G18">
        <v>0</v>
      </c>
      <c r="H18">
        <v>118.66</v>
      </c>
      <c r="I18">
        <v>110.2</v>
      </c>
      <c r="J18">
        <v>0</v>
      </c>
      <c r="K18">
        <v>79</v>
      </c>
      <c r="L18">
        <v>35.380000000000003</v>
      </c>
      <c r="M18">
        <v>9.2899999999999991</v>
      </c>
      <c r="N18">
        <v>4.63</v>
      </c>
      <c r="O18">
        <v>4.66</v>
      </c>
      <c r="P18">
        <v>49.84</v>
      </c>
      <c r="Q18">
        <v>0</v>
      </c>
    </row>
    <row r="19" spans="1:17" x14ac:dyDescent="0.25">
      <c r="A19" s="5" t="s">
        <v>26</v>
      </c>
      <c r="B19" s="5" t="s">
        <v>30</v>
      </c>
      <c r="C19" s="5" t="s">
        <v>99</v>
      </c>
      <c r="D19">
        <v>6.29</v>
      </c>
      <c r="E19">
        <v>3.08</v>
      </c>
      <c r="F19">
        <v>172.51</v>
      </c>
      <c r="G19">
        <v>0</v>
      </c>
      <c r="H19">
        <v>172.51</v>
      </c>
      <c r="I19">
        <v>751.42</v>
      </c>
      <c r="J19">
        <v>0</v>
      </c>
      <c r="K19">
        <v>56</v>
      </c>
      <c r="L19">
        <v>48.97</v>
      </c>
      <c r="M19">
        <v>9.01</v>
      </c>
      <c r="N19">
        <v>5.07</v>
      </c>
      <c r="O19">
        <v>3.94</v>
      </c>
      <c r="P19">
        <v>56.27</v>
      </c>
      <c r="Q19">
        <v>0</v>
      </c>
    </row>
    <row r="20" spans="1:17" x14ac:dyDescent="0.25">
      <c r="A20" s="5" t="s">
        <v>26</v>
      </c>
      <c r="B20" s="5" t="s">
        <v>30</v>
      </c>
      <c r="C20" s="5" t="s">
        <v>100</v>
      </c>
      <c r="D20">
        <v>0</v>
      </c>
      <c r="E20">
        <v>0.02</v>
      </c>
      <c r="F20">
        <v>1.3</v>
      </c>
      <c r="G20">
        <v>0</v>
      </c>
      <c r="H20">
        <v>1.3</v>
      </c>
      <c r="I20">
        <v>0.68</v>
      </c>
      <c r="J20">
        <v>0</v>
      </c>
      <c r="K20">
        <v>65</v>
      </c>
      <c r="M20">
        <v>10.06</v>
      </c>
      <c r="N20">
        <v>0</v>
      </c>
      <c r="O20">
        <v>10.06</v>
      </c>
      <c r="P20">
        <v>0</v>
      </c>
      <c r="Q20">
        <v>0</v>
      </c>
    </row>
    <row r="21" spans="1:17" x14ac:dyDescent="0.25">
      <c r="A21" s="5" t="s">
        <v>26</v>
      </c>
      <c r="B21" s="5" t="s">
        <v>30</v>
      </c>
      <c r="C21" s="5" t="s">
        <v>101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M21">
        <v>0</v>
      </c>
      <c r="N21">
        <v>0</v>
      </c>
      <c r="O21">
        <v>0</v>
      </c>
      <c r="Q21">
        <v>0</v>
      </c>
    </row>
    <row r="22" spans="1:17" x14ac:dyDescent="0.25">
      <c r="A22" s="5" t="s">
        <v>26</v>
      </c>
      <c r="B22" s="5" t="s">
        <v>30</v>
      </c>
      <c r="C22" s="5" t="s">
        <v>102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M22">
        <v>0</v>
      </c>
      <c r="N22">
        <v>0</v>
      </c>
      <c r="O22">
        <v>0</v>
      </c>
      <c r="Q22">
        <v>0</v>
      </c>
    </row>
    <row r="23" spans="1:17" x14ac:dyDescent="0.25">
      <c r="A23" s="5" t="s">
        <v>26</v>
      </c>
      <c r="B23" s="5" t="s">
        <v>30</v>
      </c>
      <c r="C23" s="5" t="s">
        <v>103</v>
      </c>
      <c r="D23">
        <v>1.45</v>
      </c>
      <c r="E23">
        <v>0.8</v>
      </c>
      <c r="F23">
        <v>45</v>
      </c>
      <c r="G23">
        <v>0</v>
      </c>
      <c r="H23">
        <v>45</v>
      </c>
      <c r="I23">
        <v>204.42</v>
      </c>
      <c r="J23">
        <v>0</v>
      </c>
      <c r="K23">
        <v>56</v>
      </c>
      <c r="L23">
        <v>55.17</v>
      </c>
      <c r="M23">
        <v>9.76</v>
      </c>
      <c r="N23">
        <v>3.94</v>
      </c>
      <c r="O23">
        <v>5.82</v>
      </c>
      <c r="P23">
        <v>40.369999999999997</v>
      </c>
      <c r="Q23">
        <v>0</v>
      </c>
    </row>
    <row r="24" spans="1:17" x14ac:dyDescent="0.25">
      <c r="A24" s="5" t="s">
        <v>26</v>
      </c>
      <c r="B24" s="5" t="s">
        <v>30</v>
      </c>
      <c r="C24" s="5" t="s">
        <v>104</v>
      </c>
      <c r="D24">
        <v>2.82</v>
      </c>
      <c r="E24">
        <v>1.33</v>
      </c>
      <c r="F24">
        <v>87.47</v>
      </c>
      <c r="G24">
        <v>0</v>
      </c>
      <c r="H24">
        <v>87.47</v>
      </c>
      <c r="I24">
        <v>151.37</v>
      </c>
      <c r="J24">
        <v>0</v>
      </c>
      <c r="K24">
        <v>66</v>
      </c>
      <c r="L24">
        <v>47.16</v>
      </c>
      <c r="M24">
        <v>14.28</v>
      </c>
      <c r="N24">
        <v>0.33</v>
      </c>
      <c r="O24">
        <v>13.95</v>
      </c>
      <c r="P24">
        <v>2.31</v>
      </c>
      <c r="Q24">
        <v>0</v>
      </c>
    </row>
    <row r="25" spans="1:17" x14ac:dyDescent="0.25">
      <c r="A25" s="5" t="s">
        <v>26</v>
      </c>
      <c r="B25" s="5" t="s">
        <v>30</v>
      </c>
      <c r="C25" s="5" t="s">
        <v>105</v>
      </c>
      <c r="D25">
        <v>2.92</v>
      </c>
      <c r="E25">
        <v>0.71</v>
      </c>
      <c r="F25">
        <v>51.59</v>
      </c>
      <c r="G25">
        <v>0</v>
      </c>
      <c r="H25">
        <v>51.59</v>
      </c>
      <c r="I25">
        <v>60.06</v>
      </c>
      <c r="J25">
        <v>0</v>
      </c>
      <c r="K25">
        <v>73</v>
      </c>
      <c r="L25">
        <v>24.32</v>
      </c>
      <c r="M25">
        <v>8.58</v>
      </c>
      <c r="N25">
        <v>0.9</v>
      </c>
      <c r="O25">
        <v>7.68</v>
      </c>
      <c r="P25">
        <v>10.49</v>
      </c>
      <c r="Q25">
        <v>0</v>
      </c>
    </row>
    <row r="26" spans="1:17" x14ac:dyDescent="0.25">
      <c r="A26" s="5" t="s">
        <v>26</v>
      </c>
      <c r="B26" s="5" t="s">
        <v>30</v>
      </c>
      <c r="C26" s="5" t="s">
        <v>106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M26">
        <v>9.64</v>
      </c>
      <c r="N26">
        <v>0</v>
      </c>
      <c r="O26">
        <v>9.64</v>
      </c>
      <c r="P26">
        <v>0</v>
      </c>
      <c r="Q26">
        <v>0</v>
      </c>
    </row>
    <row r="27" spans="1:17" x14ac:dyDescent="0.25">
      <c r="A27" s="5" t="s">
        <v>26</v>
      </c>
      <c r="B27" s="5" t="s">
        <v>30</v>
      </c>
      <c r="C27" s="5" t="s">
        <v>107</v>
      </c>
      <c r="D27">
        <v>1.1100000000000001</v>
      </c>
      <c r="E27">
        <v>0.54</v>
      </c>
      <c r="F27">
        <v>16.100000000000001</v>
      </c>
      <c r="G27">
        <v>0</v>
      </c>
      <c r="H27">
        <v>16.100000000000001</v>
      </c>
      <c r="I27">
        <v>0</v>
      </c>
      <c r="J27">
        <v>0</v>
      </c>
      <c r="K27">
        <v>30</v>
      </c>
      <c r="L27">
        <v>48.65</v>
      </c>
      <c r="M27">
        <v>8.4700000000000006</v>
      </c>
      <c r="N27">
        <v>1.72</v>
      </c>
      <c r="O27">
        <v>6.75</v>
      </c>
      <c r="P27">
        <v>20.309999999999999</v>
      </c>
      <c r="Q27">
        <v>0</v>
      </c>
    </row>
    <row r="28" spans="1:17" x14ac:dyDescent="0.25">
      <c r="A28" s="5" t="s">
        <v>26</v>
      </c>
      <c r="B28" s="5" t="s">
        <v>30</v>
      </c>
      <c r="C28" s="5" t="s">
        <v>108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M28">
        <v>0</v>
      </c>
      <c r="N28">
        <v>0</v>
      </c>
      <c r="O28">
        <v>0</v>
      </c>
      <c r="Q28">
        <v>0</v>
      </c>
    </row>
    <row r="29" spans="1:17" x14ac:dyDescent="0.25">
      <c r="A29" s="5" t="s">
        <v>26</v>
      </c>
      <c r="B29" s="5" t="s">
        <v>30</v>
      </c>
      <c r="C29" s="5" t="s">
        <v>109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M29">
        <v>0</v>
      </c>
      <c r="N29">
        <v>0</v>
      </c>
      <c r="O29">
        <v>0</v>
      </c>
      <c r="Q29">
        <v>0</v>
      </c>
    </row>
    <row r="30" spans="1:17" x14ac:dyDescent="0.25">
      <c r="A30" s="5" t="s">
        <v>26</v>
      </c>
      <c r="B30" s="5" t="s">
        <v>30</v>
      </c>
      <c r="C30" s="5" t="s">
        <v>110</v>
      </c>
      <c r="D30">
        <v>3.91</v>
      </c>
      <c r="E30">
        <v>1.4</v>
      </c>
      <c r="F30">
        <v>41.36</v>
      </c>
      <c r="G30">
        <v>0</v>
      </c>
      <c r="H30">
        <v>41.36</v>
      </c>
      <c r="I30">
        <v>0</v>
      </c>
      <c r="J30">
        <v>0</v>
      </c>
      <c r="K30">
        <v>30</v>
      </c>
      <c r="L30">
        <v>35.81</v>
      </c>
      <c r="M30">
        <v>10.63</v>
      </c>
      <c r="N30">
        <v>4.76</v>
      </c>
      <c r="O30">
        <v>5.87</v>
      </c>
      <c r="P30">
        <v>44.78</v>
      </c>
      <c r="Q30">
        <v>0</v>
      </c>
    </row>
    <row r="31" spans="1:17" x14ac:dyDescent="0.25">
      <c r="A31" s="5" t="s">
        <v>26</v>
      </c>
      <c r="B31" s="5" t="s">
        <v>30</v>
      </c>
      <c r="C31" s="5" t="s">
        <v>111</v>
      </c>
      <c r="D31">
        <v>0.85</v>
      </c>
      <c r="E31">
        <v>0.5</v>
      </c>
      <c r="F31">
        <v>42.5</v>
      </c>
      <c r="G31">
        <v>0</v>
      </c>
      <c r="H31">
        <v>42.5</v>
      </c>
      <c r="I31">
        <v>126.93</v>
      </c>
      <c r="J31">
        <v>0</v>
      </c>
      <c r="K31">
        <v>85</v>
      </c>
      <c r="L31">
        <v>58.82</v>
      </c>
      <c r="M31">
        <v>9.92</v>
      </c>
      <c r="N31">
        <v>0.85</v>
      </c>
      <c r="O31">
        <v>9.07</v>
      </c>
      <c r="P31">
        <v>8.57</v>
      </c>
      <c r="Q31">
        <v>0</v>
      </c>
    </row>
    <row r="32" spans="1:17" x14ac:dyDescent="0.25">
      <c r="A32" s="5" t="s">
        <v>26</v>
      </c>
      <c r="B32" s="5" t="s">
        <v>30</v>
      </c>
      <c r="C32" s="5" t="s">
        <v>112</v>
      </c>
      <c r="D32">
        <v>3.76</v>
      </c>
      <c r="E32">
        <v>1.35</v>
      </c>
      <c r="F32">
        <v>44.37</v>
      </c>
      <c r="G32">
        <v>0</v>
      </c>
      <c r="H32">
        <v>44.37</v>
      </c>
      <c r="I32">
        <v>38.28</v>
      </c>
      <c r="J32">
        <v>0</v>
      </c>
      <c r="K32">
        <v>33</v>
      </c>
      <c r="L32">
        <v>35.9</v>
      </c>
      <c r="M32">
        <v>8.17</v>
      </c>
      <c r="N32">
        <v>3.76</v>
      </c>
      <c r="O32">
        <v>4.41</v>
      </c>
      <c r="P32">
        <v>46.02</v>
      </c>
      <c r="Q32">
        <v>0</v>
      </c>
    </row>
    <row r="33" spans="1:17" x14ac:dyDescent="0.25">
      <c r="A33" s="5" t="s">
        <v>27</v>
      </c>
      <c r="B33" s="5" t="s">
        <v>31</v>
      </c>
      <c r="C33" s="5" t="s">
        <v>82</v>
      </c>
      <c r="D33">
        <v>7.38</v>
      </c>
      <c r="E33">
        <v>8.6999999999999993</v>
      </c>
      <c r="F33">
        <v>406.85</v>
      </c>
      <c r="G33">
        <v>0</v>
      </c>
      <c r="H33">
        <v>406.85</v>
      </c>
      <c r="I33">
        <v>143.4</v>
      </c>
      <c r="J33">
        <v>0</v>
      </c>
      <c r="K33">
        <v>47</v>
      </c>
      <c r="L33">
        <v>117.89</v>
      </c>
      <c r="M33">
        <v>6.62</v>
      </c>
      <c r="N33">
        <v>5.99</v>
      </c>
      <c r="O33">
        <v>0.63</v>
      </c>
      <c r="P33">
        <v>90.48</v>
      </c>
      <c r="Q33">
        <v>0</v>
      </c>
    </row>
    <row r="34" spans="1:17" x14ac:dyDescent="0.25">
      <c r="A34" s="5" t="s">
        <v>27</v>
      </c>
      <c r="B34" s="5" t="s">
        <v>31</v>
      </c>
      <c r="C34" s="5" t="s">
        <v>83</v>
      </c>
      <c r="D34">
        <v>7.24</v>
      </c>
      <c r="E34">
        <v>7.06</v>
      </c>
      <c r="F34">
        <v>404</v>
      </c>
      <c r="G34">
        <v>0</v>
      </c>
      <c r="H34">
        <v>404</v>
      </c>
      <c r="I34">
        <v>298.20999999999998</v>
      </c>
      <c r="J34">
        <v>0</v>
      </c>
      <c r="K34">
        <v>57</v>
      </c>
      <c r="L34">
        <v>97.51</v>
      </c>
      <c r="M34">
        <v>7.78</v>
      </c>
      <c r="N34">
        <v>7.24</v>
      </c>
      <c r="O34">
        <v>0.54</v>
      </c>
      <c r="P34">
        <v>93.06</v>
      </c>
      <c r="Q34">
        <v>0</v>
      </c>
    </row>
    <row r="35" spans="1:17" x14ac:dyDescent="0.25">
      <c r="A35" s="5" t="s">
        <v>27</v>
      </c>
      <c r="B35" s="5" t="s">
        <v>31</v>
      </c>
      <c r="C35" s="5" t="s">
        <v>84</v>
      </c>
      <c r="D35">
        <v>2.96</v>
      </c>
      <c r="E35">
        <v>2.82</v>
      </c>
      <c r="F35">
        <v>150.76</v>
      </c>
      <c r="G35">
        <v>0</v>
      </c>
      <c r="H35">
        <v>150.76</v>
      </c>
      <c r="I35">
        <v>90.97</v>
      </c>
      <c r="J35">
        <v>0</v>
      </c>
      <c r="K35">
        <v>53</v>
      </c>
      <c r="L35">
        <v>95.27</v>
      </c>
      <c r="M35">
        <v>7.53</v>
      </c>
      <c r="N35">
        <v>6.74</v>
      </c>
      <c r="O35">
        <v>0.79</v>
      </c>
      <c r="P35">
        <v>89.51</v>
      </c>
      <c r="Q35">
        <v>0</v>
      </c>
    </row>
    <row r="36" spans="1:17" x14ac:dyDescent="0.25">
      <c r="A36" s="5" t="s">
        <v>27</v>
      </c>
      <c r="B36" s="5" t="s">
        <v>31</v>
      </c>
      <c r="C36" s="5" t="s">
        <v>85</v>
      </c>
      <c r="D36">
        <v>13.04</v>
      </c>
      <c r="E36">
        <v>10.7</v>
      </c>
      <c r="F36">
        <v>574.55999999999995</v>
      </c>
      <c r="G36">
        <v>0</v>
      </c>
      <c r="H36">
        <v>574.55999999999995</v>
      </c>
      <c r="I36">
        <v>411.33</v>
      </c>
      <c r="J36">
        <v>2.7</v>
      </c>
      <c r="K36">
        <v>54</v>
      </c>
      <c r="L36">
        <v>82.06</v>
      </c>
      <c r="M36">
        <v>7.23</v>
      </c>
      <c r="N36">
        <v>6.94</v>
      </c>
      <c r="O36">
        <v>0.28999999999999998</v>
      </c>
      <c r="P36">
        <v>95.99</v>
      </c>
      <c r="Q36">
        <v>0</v>
      </c>
    </row>
    <row r="37" spans="1:17" x14ac:dyDescent="0.25">
      <c r="A37" s="5" t="s">
        <v>27</v>
      </c>
      <c r="B37" s="5" t="s">
        <v>31</v>
      </c>
      <c r="C37" s="5" t="s">
        <v>86</v>
      </c>
      <c r="D37">
        <v>4.29</v>
      </c>
      <c r="E37">
        <v>3.4</v>
      </c>
      <c r="F37">
        <v>121.51</v>
      </c>
      <c r="G37">
        <v>0</v>
      </c>
      <c r="H37">
        <v>121.51</v>
      </c>
      <c r="I37">
        <v>25.22</v>
      </c>
      <c r="J37">
        <v>6.67</v>
      </c>
      <c r="K37">
        <v>36</v>
      </c>
      <c r="L37">
        <v>79.25</v>
      </c>
      <c r="M37">
        <v>7.53</v>
      </c>
      <c r="N37">
        <v>5.2</v>
      </c>
      <c r="O37">
        <v>2.33</v>
      </c>
      <c r="P37">
        <v>69.06</v>
      </c>
      <c r="Q37">
        <v>0</v>
      </c>
    </row>
    <row r="38" spans="1:17" x14ac:dyDescent="0.25">
      <c r="A38" s="5" t="s">
        <v>27</v>
      </c>
      <c r="B38" s="5" t="s">
        <v>31</v>
      </c>
      <c r="C38" s="5" t="s">
        <v>87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M38">
        <v>3.97</v>
      </c>
      <c r="N38">
        <v>3.51</v>
      </c>
      <c r="O38">
        <v>0.46</v>
      </c>
      <c r="P38">
        <v>88.41</v>
      </c>
      <c r="Q38">
        <v>0</v>
      </c>
    </row>
    <row r="39" spans="1:17" x14ac:dyDescent="0.25">
      <c r="A39" s="5" t="s">
        <v>27</v>
      </c>
      <c r="B39" s="5" t="s">
        <v>31</v>
      </c>
      <c r="C39" s="5" t="s">
        <v>88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M39">
        <v>0</v>
      </c>
      <c r="N39">
        <v>0</v>
      </c>
      <c r="O39">
        <v>0</v>
      </c>
      <c r="Q39">
        <v>0</v>
      </c>
    </row>
    <row r="40" spans="1:17" x14ac:dyDescent="0.25">
      <c r="A40" s="5" t="s">
        <v>27</v>
      </c>
      <c r="B40" s="5" t="s">
        <v>31</v>
      </c>
      <c r="C40" s="5" t="s">
        <v>89</v>
      </c>
      <c r="D40">
        <v>6.07</v>
      </c>
      <c r="E40">
        <v>5.18</v>
      </c>
      <c r="F40">
        <v>325.88</v>
      </c>
      <c r="G40">
        <v>0</v>
      </c>
      <c r="H40">
        <v>325.88</v>
      </c>
      <c r="I40">
        <v>287.97000000000003</v>
      </c>
      <c r="J40">
        <v>0</v>
      </c>
      <c r="K40">
        <v>63</v>
      </c>
      <c r="L40">
        <v>85.34</v>
      </c>
      <c r="M40">
        <v>7.37</v>
      </c>
      <c r="N40">
        <v>7.25</v>
      </c>
      <c r="O40">
        <v>0.12</v>
      </c>
      <c r="P40">
        <v>98.37</v>
      </c>
      <c r="Q40">
        <v>0</v>
      </c>
    </row>
    <row r="41" spans="1:17" x14ac:dyDescent="0.25">
      <c r="A41" s="5" t="s">
        <v>27</v>
      </c>
      <c r="B41" s="5" t="s">
        <v>31</v>
      </c>
      <c r="C41" s="5" t="s">
        <v>90</v>
      </c>
      <c r="D41">
        <v>7.94</v>
      </c>
      <c r="E41">
        <v>6.08</v>
      </c>
      <c r="F41">
        <v>290.04000000000002</v>
      </c>
      <c r="G41">
        <v>0</v>
      </c>
      <c r="H41">
        <v>290.04000000000002</v>
      </c>
      <c r="I41">
        <v>217.25</v>
      </c>
      <c r="J41">
        <v>0</v>
      </c>
      <c r="K41">
        <v>48</v>
      </c>
      <c r="L41">
        <v>76.569999999999993</v>
      </c>
      <c r="M41">
        <v>8.5299999999999994</v>
      </c>
      <c r="N41">
        <v>8.4</v>
      </c>
      <c r="O41">
        <v>0.13</v>
      </c>
      <c r="P41">
        <v>98.48</v>
      </c>
      <c r="Q41">
        <v>0</v>
      </c>
    </row>
    <row r="42" spans="1:17" x14ac:dyDescent="0.25">
      <c r="A42" s="5" t="s">
        <v>27</v>
      </c>
      <c r="B42" s="5" t="s">
        <v>31</v>
      </c>
      <c r="C42" s="5" t="s">
        <v>91</v>
      </c>
      <c r="D42">
        <v>13.69</v>
      </c>
      <c r="E42">
        <v>11.96</v>
      </c>
      <c r="F42">
        <v>653.62</v>
      </c>
      <c r="G42">
        <v>0</v>
      </c>
      <c r="H42">
        <v>653.62</v>
      </c>
      <c r="I42">
        <v>390.55</v>
      </c>
      <c r="J42">
        <v>0</v>
      </c>
      <c r="K42">
        <v>55</v>
      </c>
      <c r="L42">
        <v>87.36</v>
      </c>
      <c r="M42">
        <v>7.49</v>
      </c>
      <c r="N42">
        <v>7.13</v>
      </c>
      <c r="O42">
        <v>0.36</v>
      </c>
      <c r="P42">
        <v>95.19</v>
      </c>
      <c r="Q42">
        <v>0</v>
      </c>
    </row>
    <row r="43" spans="1:17" x14ac:dyDescent="0.25">
      <c r="A43" s="5" t="s">
        <v>27</v>
      </c>
      <c r="B43" s="5" t="s">
        <v>31</v>
      </c>
      <c r="C43" s="5" t="s">
        <v>92</v>
      </c>
      <c r="D43">
        <v>8.49</v>
      </c>
      <c r="E43">
        <v>5.59</v>
      </c>
      <c r="F43">
        <v>381.68</v>
      </c>
      <c r="G43">
        <v>0</v>
      </c>
      <c r="H43">
        <v>381.68</v>
      </c>
      <c r="I43">
        <v>302.14999999999998</v>
      </c>
      <c r="J43">
        <v>0</v>
      </c>
      <c r="K43">
        <v>68</v>
      </c>
      <c r="L43">
        <v>65.84</v>
      </c>
      <c r="M43">
        <v>7.04</v>
      </c>
      <c r="N43">
        <v>6.42</v>
      </c>
      <c r="O43">
        <v>0.62</v>
      </c>
      <c r="P43">
        <v>91.19</v>
      </c>
      <c r="Q43">
        <v>0</v>
      </c>
    </row>
    <row r="44" spans="1:17" x14ac:dyDescent="0.25">
      <c r="A44" s="5" t="s">
        <v>27</v>
      </c>
      <c r="B44" s="5" t="s">
        <v>31</v>
      </c>
      <c r="C44" s="5" t="s">
        <v>93</v>
      </c>
      <c r="D44">
        <v>5.01</v>
      </c>
      <c r="E44">
        <v>4.5199999999999996</v>
      </c>
      <c r="F44">
        <v>248.76</v>
      </c>
      <c r="G44">
        <v>0</v>
      </c>
      <c r="H44">
        <v>248.76</v>
      </c>
      <c r="I44">
        <v>142</v>
      </c>
      <c r="J44">
        <v>0</v>
      </c>
      <c r="K44">
        <v>55</v>
      </c>
      <c r="L44">
        <v>90.22</v>
      </c>
      <c r="M44">
        <v>7.47</v>
      </c>
      <c r="N44">
        <v>6.78</v>
      </c>
      <c r="O44">
        <v>0.69</v>
      </c>
      <c r="P44">
        <v>90.76</v>
      </c>
      <c r="Q44">
        <v>0</v>
      </c>
    </row>
    <row r="45" spans="1:17" x14ac:dyDescent="0.25">
      <c r="A45" s="5" t="s">
        <v>27</v>
      </c>
      <c r="B45" s="5" t="s">
        <v>31</v>
      </c>
      <c r="C45" s="5" t="s">
        <v>94</v>
      </c>
      <c r="D45">
        <v>0.36</v>
      </c>
      <c r="E45">
        <v>0.32</v>
      </c>
      <c r="F45">
        <v>23.05</v>
      </c>
      <c r="G45">
        <v>0</v>
      </c>
      <c r="H45">
        <v>23.05</v>
      </c>
      <c r="I45">
        <v>19.190000000000001</v>
      </c>
      <c r="J45">
        <v>0</v>
      </c>
      <c r="K45">
        <v>72</v>
      </c>
      <c r="L45">
        <v>88.89</v>
      </c>
      <c r="M45">
        <v>0</v>
      </c>
      <c r="N45">
        <v>0</v>
      </c>
      <c r="O45">
        <v>0</v>
      </c>
      <c r="Q45">
        <v>0</v>
      </c>
    </row>
    <row r="46" spans="1:17" x14ac:dyDescent="0.25">
      <c r="A46" s="5" t="s">
        <v>27</v>
      </c>
      <c r="B46" s="5" t="s">
        <v>31</v>
      </c>
      <c r="C46" s="5" t="s">
        <v>95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M46">
        <v>0</v>
      </c>
      <c r="N46">
        <v>0</v>
      </c>
      <c r="O46">
        <v>0</v>
      </c>
      <c r="Q46">
        <v>0</v>
      </c>
    </row>
    <row r="47" spans="1:17" x14ac:dyDescent="0.25">
      <c r="A47" s="5" t="s">
        <v>27</v>
      </c>
      <c r="B47" s="5" t="s">
        <v>31</v>
      </c>
      <c r="C47" s="5" t="s">
        <v>96</v>
      </c>
      <c r="D47">
        <v>8.17</v>
      </c>
      <c r="E47">
        <v>6.42</v>
      </c>
      <c r="F47">
        <v>358.33</v>
      </c>
      <c r="G47">
        <v>0</v>
      </c>
      <c r="H47">
        <v>358.33</v>
      </c>
      <c r="I47">
        <v>1137.1199999999999</v>
      </c>
      <c r="J47">
        <v>0</v>
      </c>
      <c r="K47">
        <v>56</v>
      </c>
      <c r="L47">
        <v>78.58</v>
      </c>
      <c r="M47">
        <v>8.2100000000000009</v>
      </c>
      <c r="N47">
        <v>7.95</v>
      </c>
      <c r="O47">
        <v>0.26</v>
      </c>
      <c r="P47">
        <v>96.83</v>
      </c>
      <c r="Q47">
        <v>0</v>
      </c>
    </row>
    <row r="48" spans="1:17" x14ac:dyDescent="0.25">
      <c r="A48" s="5" t="s">
        <v>27</v>
      </c>
      <c r="B48" s="5" t="s">
        <v>31</v>
      </c>
      <c r="C48" s="5" t="s">
        <v>97</v>
      </c>
      <c r="D48">
        <v>7.27</v>
      </c>
      <c r="E48">
        <v>7.68</v>
      </c>
      <c r="F48">
        <v>422.37</v>
      </c>
      <c r="G48">
        <v>0</v>
      </c>
      <c r="H48">
        <v>422.37</v>
      </c>
      <c r="I48">
        <v>388.91</v>
      </c>
      <c r="J48">
        <v>0</v>
      </c>
      <c r="K48">
        <v>55</v>
      </c>
      <c r="L48">
        <v>105.64</v>
      </c>
      <c r="M48">
        <v>7.91</v>
      </c>
      <c r="N48">
        <v>6.86</v>
      </c>
      <c r="O48">
        <v>1.05</v>
      </c>
      <c r="P48">
        <v>86.73</v>
      </c>
      <c r="Q48">
        <v>0</v>
      </c>
    </row>
    <row r="49" spans="1:17" x14ac:dyDescent="0.25">
      <c r="A49" s="5" t="s">
        <v>27</v>
      </c>
      <c r="B49" s="5" t="s">
        <v>31</v>
      </c>
      <c r="C49" s="5" t="s">
        <v>98</v>
      </c>
      <c r="D49">
        <v>6.45</v>
      </c>
      <c r="E49">
        <v>5.12</v>
      </c>
      <c r="F49">
        <v>259.87</v>
      </c>
      <c r="G49">
        <v>0</v>
      </c>
      <c r="H49">
        <v>259.87</v>
      </c>
      <c r="I49">
        <v>190.05</v>
      </c>
      <c r="J49">
        <v>6.67</v>
      </c>
      <c r="K49">
        <v>51</v>
      </c>
      <c r="L49">
        <v>79.38</v>
      </c>
      <c r="M49">
        <v>8.5299999999999994</v>
      </c>
      <c r="N49">
        <v>8.33</v>
      </c>
      <c r="O49">
        <v>0.2</v>
      </c>
      <c r="P49">
        <v>97.66</v>
      </c>
      <c r="Q49">
        <v>0</v>
      </c>
    </row>
    <row r="50" spans="1:17" x14ac:dyDescent="0.25">
      <c r="A50" s="5" t="s">
        <v>27</v>
      </c>
      <c r="B50" s="5" t="s">
        <v>31</v>
      </c>
      <c r="C50" s="5" t="s">
        <v>99</v>
      </c>
      <c r="D50">
        <v>10.24</v>
      </c>
      <c r="E50">
        <v>9.86</v>
      </c>
      <c r="F50">
        <v>553</v>
      </c>
      <c r="G50">
        <v>0</v>
      </c>
      <c r="H50">
        <v>553</v>
      </c>
      <c r="I50">
        <v>231</v>
      </c>
      <c r="J50">
        <v>0</v>
      </c>
      <c r="K50">
        <v>56</v>
      </c>
      <c r="L50">
        <v>96.29</v>
      </c>
      <c r="M50">
        <v>8.64</v>
      </c>
      <c r="N50">
        <v>8.6</v>
      </c>
      <c r="O50">
        <v>0.04</v>
      </c>
      <c r="P50">
        <v>99.54</v>
      </c>
      <c r="Q50">
        <v>0</v>
      </c>
    </row>
    <row r="51" spans="1:17" x14ac:dyDescent="0.25">
      <c r="A51" s="5" t="s">
        <v>27</v>
      </c>
      <c r="B51" s="5" t="s">
        <v>31</v>
      </c>
      <c r="C51" s="5" t="s">
        <v>100</v>
      </c>
      <c r="D51">
        <v>7.67</v>
      </c>
      <c r="E51">
        <v>5.12</v>
      </c>
      <c r="F51">
        <v>272.95</v>
      </c>
      <c r="G51">
        <v>0</v>
      </c>
      <c r="H51">
        <v>272.95</v>
      </c>
      <c r="I51">
        <v>354.83</v>
      </c>
      <c r="J51">
        <v>0</v>
      </c>
      <c r="K51">
        <v>53</v>
      </c>
      <c r="L51">
        <v>66.75</v>
      </c>
      <c r="M51">
        <v>7.85</v>
      </c>
      <c r="N51">
        <v>7.42</v>
      </c>
      <c r="O51">
        <v>0.43</v>
      </c>
      <c r="P51">
        <v>94.52</v>
      </c>
      <c r="Q51">
        <v>0</v>
      </c>
    </row>
    <row r="52" spans="1:17" x14ac:dyDescent="0.25">
      <c r="A52" s="5" t="s">
        <v>27</v>
      </c>
      <c r="B52" s="5" t="s">
        <v>31</v>
      </c>
      <c r="C52" s="5" t="s">
        <v>101</v>
      </c>
      <c r="D52">
        <v>3.08</v>
      </c>
      <c r="E52">
        <v>2.62</v>
      </c>
      <c r="F52">
        <v>142.72999999999999</v>
      </c>
      <c r="G52">
        <v>0</v>
      </c>
      <c r="H52">
        <v>142.72999999999999</v>
      </c>
      <c r="I52">
        <v>88.78</v>
      </c>
      <c r="J52">
        <v>0</v>
      </c>
      <c r="K52">
        <v>54</v>
      </c>
      <c r="L52">
        <v>85.06</v>
      </c>
      <c r="M52">
        <v>3.84</v>
      </c>
      <c r="N52">
        <v>3.08</v>
      </c>
      <c r="O52">
        <v>0.76</v>
      </c>
      <c r="P52">
        <v>80.209999999999994</v>
      </c>
      <c r="Q52">
        <v>0</v>
      </c>
    </row>
    <row r="53" spans="1:17" x14ac:dyDescent="0.25">
      <c r="A53" s="5" t="s">
        <v>27</v>
      </c>
      <c r="B53" s="5" t="s">
        <v>31</v>
      </c>
      <c r="C53" s="5" t="s">
        <v>102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M53">
        <v>0</v>
      </c>
      <c r="N53">
        <v>0</v>
      </c>
      <c r="O53">
        <v>0</v>
      </c>
      <c r="Q53">
        <v>0</v>
      </c>
    </row>
    <row r="54" spans="1:17" x14ac:dyDescent="0.25">
      <c r="A54" s="5" t="s">
        <v>27</v>
      </c>
      <c r="B54" s="5" t="s">
        <v>31</v>
      </c>
      <c r="C54" s="5" t="s">
        <v>103</v>
      </c>
      <c r="D54">
        <v>0.11</v>
      </c>
      <c r="E54">
        <v>0.03</v>
      </c>
      <c r="F54">
        <v>1.92</v>
      </c>
      <c r="G54">
        <v>0</v>
      </c>
      <c r="H54">
        <v>1.92</v>
      </c>
      <c r="I54">
        <v>1.28</v>
      </c>
      <c r="J54">
        <v>0</v>
      </c>
      <c r="K54">
        <v>64</v>
      </c>
      <c r="L54">
        <v>27.27</v>
      </c>
      <c r="M54">
        <v>0</v>
      </c>
      <c r="N54">
        <v>0</v>
      </c>
      <c r="O54">
        <v>0</v>
      </c>
      <c r="Q54">
        <v>0</v>
      </c>
    </row>
    <row r="55" spans="1:17" x14ac:dyDescent="0.25">
      <c r="A55" s="5" t="s">
        <v>27</v>
      </c>
      <c r="B55" s="5" t="s">
        <v>31</v>
      </c>
      <c r="C55" s="5" t="s">
        <v>104</v>
      </c>
      <c r="D55">
        <v>1.08</v>
      </c>
      <c r="E55">
        <v>0.68</v>
      </c>
      <c r="F55">
        <v>34.6</v>
      </c>
      <c r="G55">
        <v>0</v>
      </c>
      <c r="H55">
        <v>34.6</v>
      </c>
      <c r="I55">
        <v>27.54</v>
      </c>
      <c r="J55">
        <v>0</v>
      </c>
      <c r="K55">
        <v>51</v>
      </c>
      <c r="L55">
        <v>62.96</v>
      </c>
      <c r="M55">
        <v>0</v>
      </c>
      <c r="N55">
        <v>0</v>
      </c>
      <c r="O55">
        <v>0</v>
      </c>
      <c r="Q55">
        <v>0</v>
      </c>
    </row>
    <row r="56" spans="1:17" x14ac:dyDescent="0.25">
      <c r="A56" s="5" t="s">
        <v>27</v>
      </c>
      <c r="B56" s="5" t="s">
        <v>31</v>
      </c>
      <c r="C56" s="5" t="s">
        <v>105</v>
      </c>
      <c r="D56">
        <v>0</v>
      </c>
      <c r="E56">
        <v>0</v>
      </c>
      <c r="F56">
        <v>39</v>
      </c>
      <c r="G56">
        <v>0</v>
      </c>
      <c r="H56">
        <v>39</v>
      </c>
      <c r="I56">
        <v>0</v>
      </c>
      <c r="J56">
        <v>0</v>
      </c>
      <c r="M56">
        <v>0</v>
      </c>
      <c r="N56">
        <v>0</v>
      </c>
      <c r="O56">
        <v>0</v>
      </c>
      <c r="Q56">
        <v>0</v>
      </c>
    </row>
    <row r="57" spans="1:17" x14ac:dyDescent="0.25">
      <c r="A57" s="5" t="s">
        <v>27</v>
      </c>
      <c r="B57" s="5" t="s">
        <v>31</v>
      </c>
      <c r="C57" s="5" t="s">
        <v>106</v>
      </c>
      <c r="D57">
        <v>1.3</v>
      </c>
      <c r="E57">
        <v>0.48</v>
      </c>
      <c r="F57">
        <v>16.25</v>
      </c>
      <c r="G57">
        <v>0</v>
      </c>
      <c r="H57">
        <v>16.25</v>
      </c>
      <c r="I57">
        <v>18.18</v>
      </c>
      <c r="J57">
        <v>0</v>
      </c>
      <c r="K57">
        <v>34</v>
      </c>
      <c r="L57">
        <v>36.92</v>
      </c>
      <c r="M57">
        <v>0</v>
      </c>
      <c r="N57">
        <v>0</v>
      </c>
      <c r="O57">
        <v>0</v>
      </c>
      <c r="Q57">
        <v>0</v>
      </c>
    </row>
    <row r="58" spans="1:17" x14ac:dyDescent="0.25">
      <c r="A58" s="5" t="s">
        <v>27</v>
      </c>
      <c r="B58" s="5" t="s">
        <v>31</v>
      </c>
      <c r="C58" s="5" t="s">
        <v>107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M58">
        <v>0</v>
      </c>
      <c r="N58">
        <v>0</v>
      </c>
      <c r="O58">
        <v>0</v>
      </c>
      <c r="Q58">
        <v>0</v>
      </c>
    </row>
    <row r="59" spans="1:17" x14ac:dyDescent="0.25">
      <c r="A59" s="5" t="s">
        <v>27</v>
      </c>
      <c r="B59" s="5" t="s">
        <v>31</v>
      </c>
      <c r="C59" s="5" t="s">
        <v>108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M59">
        <v>0</v>
      </c>
      <c r="N59">
        <v>0</v>
      </c>
      <c r="O59">
        <v>0</v>
      </c>
      <c r="Q59">
        <v>0</v>
      </c>
    </row>
    <row r="60" spans="1:17" x14ac:dyDescent="0.25">
      <c r="A60" s="5" t="s">
        <v>27</v>
      </c>
      <c r="B60" s="5" t="s">
        <v>31</v>
      </c>
      <c r="C60" s="5" t="s">
        <v>109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M60">
        <v>0</v>
      </c>
      <c r="N60">
        <v>0</v>
      </c>
      <c r="O60">
        <v>0</v>
      </c>
      <c r="Q60">
        <v>0</v>
      </c>
    </row>
    <row r="61" spans="1:17" x14ac:dyDescent="0.25">
      <c r="A61" s="5" t="s">
        <v>27</v>
      </c>
      <c r="B61" s="5" t="s">
        <v>31</v>
      </c>
      <c r="C61" s="5" t="s">
        <v>110</v>
      </c>
      <c r="D61">
        <v>8.44</v>
      </c>
      <c r="E61">
        <v>8.34</v>
      </c>
      <c r="F61">
        <v>466.24</v>
      </c>
      <c r="G61">
        <v>0</v>
      </c>
      <c r="H61">
        <v>466.24</v>
      </c>
      <c r="I61">
        <v>284.13</v>
      </c>
      <c r="J61">
        <v>0</v>
      </c>
      <c r="K61">
        <v>56</v>
      </c>
      <c r="L61">
        <v>98.82</v>
      </c>
      <c r="M61">
        <v>8.76</v>
      </c>
      <c r="N61">
        <v>8.27</v>
      </c>
      <c r="O61">
        <v>0.49</v>
      </c>
      <c r="P61">
        <v>94.41</v>
      </c>
      <c r="Q61">
        <v>0</v>
      </c>
    </row>
    <row r="62" spans="1:17" x14ac:dyDescent="0.25">
      <c r="A62" s="5" t="s">
        <v>27</v>
      </c>
      <c r="B62" s="5" t="s">
        <v>31</v>
      </c>
      <c r="C62" s="5" t="s">
        <v>111</v>
      </c>
      <c r="D62">
        <v>6.67</v>
      </c>
      <c r="E62">
        <v>8.02</v>
      </c>
      <c r="F62">
        <v>473.42</v>
      </c>
      <c r="G62">
        <v>0</v>
      </c>
      <c r="H62">
        <v>473.42</v>
      </c>
      <c r="I62">
        <v>384.69</v>
      </c>
      <c r="J62">
        <v>-15.65</v>
      </c>
      <c r="K62">
        <v>59</v>
      </c>
      <c r="L62">
        <v>120.24</v>
      </c>
      <c r="M62">
        <v>7.65</v>
      </c>
      <c r="N62">
        <v>7.48</v>
      </c>
      <c r="O62">
        <v>0.17</v>
      </c>
      <c r="P62">
        <v>97.78</v>
      </c>
      <c r="Q62">
        <v>0</v>
      </c>
    </row>
    <row r="63" spans="1:17" x14ac:dyDescent="0.25">
      <c r="A63" s="5" t="s">
        <v>27</v>
      </c>
      <c r="B63" s="5" t="s">
        <v>31</v>
      </c>
      <c r="C63" s="5" t="s">
        <v>112</v>
      </c>
      <c r="D63">
        <v>7.91</v>
      </c>
      <c r="E63">
        <v>9.77</v>
      </c>
      <c r="F63">
        <v>558.21</v>
      </c>
      <c r="G63">
        <v>0</v>
      </c>
      <c r="H63">
        <v>558.21</v>
      </c>
      <c r="I63">
        <v>321.39999999999998</v>
      </c>
      <c r="J63">
        <v>0</v>
      </c>
      <c r="K63">
        <v>57</v>
      </c>
      <c r="L63">
        <v>123.51</v>
      </c>
      <c r="M63">
        <v>7.45</v>
      </c>
      <c r="N63">
        <v>7.1</v>
      </c>
      <c r="O63">
        <v>0.35</v>
      </c>
      <c r="P63">
        <v>95.3</v>
      </c>
      <c r="Q63">
        <v>0</v>
      </c>
    </row>
    <row r="64" spans="1:17" x14ac:dyDescent="0.25">
      <c r="A64" s="5" t="s">
        <v>28</v>
      </c>
      <c r="B64" s="5" t="s">
        <v>32</v>
      </c>
      <c r="C64" s="5" t="s">
        <v>82</v>
      </c>
      <c r="D64">
        <v>3.44</v>
      </c>
      <c r="E64">
        <v>3.84</v>
      </c>
      <c r="F64">
        <v>258.91000000000003</v>
      </c>
      <c r="G64">
        <v>0</v>
      </c>
      <c r="H64">
        <v>258.91000000000003</v>
      </c>
      <c r="I64">
        <v>282.77999999999997</v>
      </c>
      <c r="J64">
        <v>0</v>
      </c>
      <c r="K64">
        <v>67</v>
      </c>
      <c r="L64">
        <v>111.63</v>
      </c>
      <c r="M64">
        <v>7.87</v>
      </c>
      <c r="N64">
        <v>7.73</v>
      </c>
      <c r="O64">
        <v>0.14000000000000001</v>
      </c>
      <c r="P64">
        <v>98.22</v>
      </c>
      <c r="Q64">
        <v>0</v>
      </c>
    </row>
    <row r="65" spans="1:17" x14ac:dyDescent="0.25">
      <c r="A65" s="5" t="s">
        <v>28</v>
      </c>
      <c r="B65" s="5" t="s">
        <v>32</v>
      </c>
      <c r="C65" s="5" t="s">
        <v>83</v>
      </c>
      <c r="D65">
        <v>7.48</v>
      </c>
      <c r="E65">
        <v>4.7699999999999996</v>
      </c>
      <c r="F65">
        <v>266.32</v>
      </c>
      <c r="G65">
        <v>0</v>
      </c>
      <c r="H65">
        <v>266.32</v>
      </c>
      <c r="I65">
        <v>356.15</v>
      </c>
      <c r="J65">
        <v>0</v>
      </c>
      <c r="K65">
        <v>56</v>
      </c>
      <c r="L65">
        <v>63.77</v>
      </c>
      <c r="M65">
        <v>7.34</v>
      </c>
      <c r="N65">
        <v>7.15</v>
      </c>
      <c r="O65">
        <v>0.19</v>
      </c>
      <c r="P65">
        <v>97.41</v>
      </c>
      <c r="Q65">
        <v>0</v>
      </c>
    </row>
    <row r="66" spans="1:17" x14ac:dyDescent="0.25">
      <c r="A66" s="5" t="s">
        <v>28</v>
      </c>
      <c r="B66" s="5" t="s">
        <v>32</v>
      </c>
      <c r="C66" s="5" t="s">
        <v>84</v>
      </c>
      <c r="D66">
        <v>5.14</v>
      </c>
      <c r="E66">
        <v>2.98</v>
      </c>
      <c r="F66">
        <v>223.64</v>
      </c>
      <c r="G66">
        <v>0</v>
      </c>
      <c r="H66">
        <v>223.64</v>
      </c>
      <c r="I66">
        <v>183.08</v>
      </c>
      <c r="J66">
        <v>0</v>
      </c>
      <c r="K66">
        <v>75</v>
      </c>
      <c r="L66">
        <v>57.98</v>
      </c>
      <c r="M66">
        <v>7.61</v>
      </c>
      <c r="N66">
        <v>7.08</v>
      </c>
      <c r="O66">
        <v>0.53</v>
      </c>
      <c r="P66">
        <v>93.04</v>
      </c>
      <c r="Q66">
        <v>0</v>
      </c>
    </row>
    <row r="67" spans="1:17" x14ac:dyDescent="0.25">
      <c r="A67" s="5" t="s">
        <v>28</v>
      </c>
      <c r="B67" s="5" t="s">
        <v>32</v>
      </c>
      <c r="C67" s="5" t="s">
        <v>85</v>
      </c>
      <c r="D67">
        <v>6.6</v>
      </c>
      <c r="E67">
        <v>4.55</v>
      </c>
      <c r="F67">
        <v>376.19</v>
      </c>
      <c r="G67">
        <v>0</v>
      </c>
      <c r="H67">
        <v>376.19</v>
      </c>
      <c r="I67">
        <v>56.46</v>
      </c>
      <c r="J67">
        <v>2.91</v>
      </c>
      <c r="K67">
        <v>83</v>
      </c>
      <c r="L67">
        <v>68.94</v>
      </c>
      <c r="M67">
        <v>7.71</v>
      </c>
      <c r="N67">
        <v>7.49</v>
      </c>
      <c r="O67">
        <v>0.22</v>
      </c>
      <c r="P67">
        <v>97.15</v>
      </c>
      <c r="Q67">
        <v>0</v>
      </c>
    </row>
    <row r="68" spans="1:17" x14ac:dyDescent="0.25">
      <c r="A68" s="5" t="s">
        <v>28</v>
      </c>
      <c r="B68" s="5" t="s">
        <v>32</v>
      </c>
      <c r="C68" s="5" t="s">
        <v>86</v>
      </c>
      <c r="D68">
        <v>0.05</v>
      </c>
      <c r="E68">
        <v>0.04</v>
      </c>
      <c r="F68">
        <v>2.86</v>
      </c>
      <c r="G68">
        <v>0</v>
      </c>
      <c r="H68">
        <v>2.86</v>
      </c>
      <c r="I68">
        <v>2.9</v>
      </c>
      <c r="J68">
        <v>0</v>
      </c>
      <c r="K68">
        <v>72</v>
      </c>
      <c r="L68">
        <v>80</v>
      </c>
      <c r="M68">
        <v>7.88</v>
      </c>
      <c r="N68">
        <v>7.11</v>
      </c>
      <c r="O68">
        <v>0.77</v>
      </c>
      <c r="P68">
        <v>90.23</v>
      </c>
      <c r="Q68">
        <v>0</v>
      </c>
    </row>
    <row r="69" spans="1:17" x14ac:dyDescent="0.25">
      <c r="A69" s="5" t="s">
        <v>28</v>
      </c>
      <c r="B69" s="5" t="s">
        <v>32</v>
      </c>
      <c r="C69" s="5" t="s">
        <v>87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M69">
        <v>0</v>
      </c>
      <c r="N69">
        <v>0</v>
      </c>
      <c r="O69">
        <v>0</v>
      </c>
      <c r="Q69">
        <v>0</v>
      </c>
    </row>
    <row r="70" spans="1:17" x14ac:dyDescent="0.25">
      <c r="A70" s="5" t="s">
        <v>28</v>
      </c>
      <c r="B70" s="5" t="s">
        <v>32</v>
      </c>
      <c r="C70" s="5" t="s">
        <v>88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M70">
        <v>0</v>
      </c>
      <c r="N70">
        <v>0</v>
      </c>
      <c r="O70">
        <v>0</v>
      </c>
      <c r="Q70">
        <v>0</v>
      </c>
    </row>
    <row r="71" spans="1:17" x14ac:dyDescent="0.25">
      <c r="A71" s="5" t="s">
        <v>28</v>
      </c>
      <c r="B71" s="5" t="s">
        <v>32</v>
      </c>
      <c r="C71" s="5" t="s">
        <v>89</v>
      </c>
      <c r="D71">
        <v>6.26</v>
      </c>
      <c r="E71">
        <v>3.4</v>
      </c>
      <c r="F71">
        <v>212.85</v>
      </c>
      <c r="G71">
        <v>0</v>
      </c>
      <c r="H71">
        <v>212.85</v>
      </c>
      <c r="I71">
        <v>141.33000000000001</v>
      </c>
      <c r="J71">
        <v>0</v>
      </c>
      <c r="K71">
        <v>63</v>
      </c>
      <c r="L71">
        <v>54.31</v>
      </c>
      <c r="M71">
        <v>8.59</v>
      </c>
      <c r="N71">
        <v>8.32</v>
      </c>
      <c r="O71">
        <v>0.27</v>
      </c>
      <c r="P71">
        <v>96.86</v>
      </c>
      <c r="Q71">
        <v>0</v>
      </c>
    </row>
    <row r="72" spans="1:17" x14ac:dyDescent="0.25">
      <c r="A72" s="5" t="s">
        <v>28</v>
      </c>
      <c r="B72" s="5" t="s">
        <v>32</v>
      </c>
      <c r="C72" s="5" t="s">
        <v>90</v>
      </c>
      <c r="D72">
        <v>6.42</v>
      </c>
      <c r="E72">
        <v>5.33</v>
      </c>
      <c r="F72">
        <v>349.63</v>
      </c>
      <c r="G72">
        <v>0</v>
      </c>
      <c r="H72">
        <v>349.63</v>
      </c>
      <c r="I72">
        <v>204.58</v>
      </c>
      <c r="J72">
        <v>0</v>
      </c>
      <c r="K72">
        <v>66</v>
      </c>
      <c r="L72">
        <v>83.02</v>
      </c>
      <c r="M72">
        <v>8.76</v>
      </c>
      <c r="N72">
        <v>8.5299999999999994</v>
      </c>
      <c r="O72">
        <v>0.23</v>
      </c>
      <c r="P72">
        <v>97.37</v>
      </c>
      <c r="Q72">
        <v>0</v>
      </c>
    </row>
    <row r="73" spans="1:17" x14ac:dyDescent="0.25">
      <c r="A73" s="5" t="s">
        <v>28</v>
      </c>
      <c r="B73" s="5" t="s">
        <v>32</v>
      </c>
      <c r="C73" s="5" t="s">
        <v>91</v>
      </c>
      <c r="D73">
        <v>10.53</v>
      </c>
      <c r="E73">
        <v>10.84</v>
      </c>
      <c r="F73">
        <v>828.19</v>
      </c>
      <c r="G73">
        <v>0</v>
      </c>
      <c r="H73">
        <v>828.19</v>
      </c>
      <c r="I73">
        <v>1045.23</v>
      </c>
      <c r="J73">
        <v>0</v>
      </c>
      <c r="K73">
        <v>76</v>
      </c>
      <c r="L73">
        <v>102.94</v>
      </c>
      <c r="M73">
        <v>7.67</v>
      </c>
      <c r="N73">
        <v>7.13</v>
      </c>
      <c r="O73">
        <v>0.54</v>
      </c>
      <c r="P73">
        <v>92.96</v>
      </c>
      <c r="Q73">
        <v>0</v>
      </c>
    </row>
    <row r="74" spans="1:17" x14ac:dyDescent="0.25">
      <c r="A74" s="5" t="s">
        <v>28</v>
      </c>
      <c r="B74" s="5" t="s">
        <v>32</v>
      </c>
      <c r="C74" s="5" t="s">
        <v>92</v>
      </c>
      <c r="D74">
        <v>5.46</v>
      </c>
      <c r="E74">
        <v>3.54</v>
      </c>
      <c r="F74">
        <v>234.9</v>
      </c>
      <c r="G74">
        <v>0</v>
      </c>
      <c r="H74">
        <v>234.9</v>
      </c>
      <c r="I74">
        <v>71.239999999999995</v>
      </c>
      <c r="J74">
        <v>0</v>
      </c>
      <c r="K74">
        <v>66</v>
      </c>
      <c r="L74">
        <v>64.84</v>
      </c>
      <c r="M74">
        <v>7.94</v>
      </c>
      <c r="N74">
        <v>7.47</v>
      </c>
      <c r="O74">
        <v>0.47</v>
      </c>
      <c r="P74">
        <v>94.08</v>
      </c>
      <c r="Q74">
        <v>0</v>
      </c>
    </row>
    <row r="75" spans="1:17" x14ac:dyDescent="0.25">
      <c r="A75" s="5" t="s">
        <v>28</v>
      </c>
      <c r="B75" s="5" t="s">
        <v>32</v>
      </c>
      <c r="C75" s="5" t="s">
        <v>93</v>
      </c>
      <c r="D75">
        <v>4.66</v>
      </c>
      <c r="E75">
        <v>4.1500000000000004</v>
      </c>
      <c r="F75">
        <v>302.13</v>
      </c>
      <c r="G75">
        <v>0</v>
      </c>
      <c r="H75">
        <v>302.13</v>
      </c>
      <c r="I75">
        <v>251.91</v>
      </c>
      <c r="J75">
        <v>0</v>
      </c>
      <c r="K75">
        <v>73</v>
      </c>
      <c r="L75">
        <v>89.06</v>
      </c>
      <c r="M75">
        <v>8.01</v>
      </c>
      <c r="N75">
        <v>7.32</v>
      </c>
      <c r="O75">
        <v>0.69</v>
      </c>
      <c r="P75">
        <v>91.39</v>
      </c>
      <c r="Q75">
        <v>0</v>
      </c>
    </row>
    <row r="76" spans="1:17" x14ac:dyDescent="0.25">
      <c r="A76" s="5" t="s">
        <v>28</v>
      </c>
      <c r="B76" s="5" t="s">
        <v>32</v>
      </c>
      <c r="C76" s="5" t="s">
        <v>94</v>
      </c>
      <c r="D76">
        <v>3.6</v>
      </c>
      <c r="E76">
        <v>2.2999999999999998</v>
      </c>
      <c r="F76">
        <v>129.56</v>
      </c>
      <c r="G76">
        <v>0</v>
      </c>
      <c r="H76">
        <v>129.56</v>
      </c>
      <c r="I76">
        <v>206.94</v>
      </c>
      <c r="J76">
        <v>0</v>
      </c>
      <c r="K76">
        <v>56</v>
      </c>
      <c r="L76">
        <v>63.89</v>
      </c>
      <c r="M76">
        <v>4.92</v>
      </c>
      <c r="N76">
        <v>4.68</v>
      </c>
      <c r="O76">
        <v>0.24</v>
      </c>
      <c r="P76">
        <v>95.12</v>
      </c>
      <c r="Q76">
        <v>0</v>
      </c>
    </row>
    <row r="77" spans="1:17" x14ac:dyDescent="0.25">
      <c r="A77" s="5" t="s">
        <v>28</v>
      </c>
      <c r="B77" s="5" t="s">
        <v>32</v>
      </c>
      <c r="C77" s="5" t="s">
        <v>95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M77">
        <v>0</v>
      </c>
      <c r="N77">
        <v>0</v>
      </c>
      <c r="O77">
        <v>0</v>
      </c>
      <c r="Q77">
        <v>0</v>
      </c>
    </row>
    <row r="78" spans="1:17" x14ac:dyDescent="0.25">
      <c r="A78" s="5" t="s">
        <v>28</v>
      </c>
      <c r="B78" s="5" t="s">
        <v>32</v>
      </c>
      <c r="C78" s="5" t="s">
        <v>96</v>
      </c>
      <c r="D78">
        <v>8.69</v>
      </c>
      <c r="E78">
        <v>7.06</v>
      </c>
      <c r="F78">
        <v>549.03</v>
      </c>
      <c r="G78">
        <v>0</v>
      </c>
      <c r="H78">
        <v>549.03</v>
      </c>
      <c r="I78">
        <v>465.49</v>
      </c>
      <c r="J78">
        <v>0</v>
      </c>
      <c r="K78">
        <v>78</v>
      </c>
      <c r="L78">
        <v>81.239999999999995</v>
      </c>
      <c r="M78">
        <v>8.6999999999999993</v>
      </c>
      <c r="N78">
        <v>8.69</v>
      </c>
      <c r="O78">
        <v>0.01</v>
      </c>
      <c r="P78">
        <v>99.89</v>
      </c>
      <c r="Q78">
        <v>0</v>
      </c>
    </row>
    <row r="79" spans="1:17" x14ac:dyDescent="0.25">
      <c r="A79" s="5" t="s">
        <v>28</v>
      </c>
      <c r="B79" s="5" t="s">
        <v>32</v>
      </c>
      <c r="C79" s="5" t="s">
        <v>97</v>
      </c>
      <c r="D79">
        <v>8.83</v>
      </c>
      <c r="E79">
        <v>8.01</v>
      </c>
      <c r="F79">
        <v>410.02</v>
      </c>
      <c r="G79">
        <v>0</v>
      </c>
      <c r="H79">
        <v>410.02</v>
      </c>
      <c r="I79">
        <v>420.43</v>
      </c>
      <c r="J79">
        <v>0</v>
      </c>
      <c r="K79">
        <v>51</v>
      </c>
      <c r="L79">
        <v>90.71</v>
      </c>
      <c r="M79">
        <v>8.07</v>
      </c>
      <c r="N79">
        <v>7.74</v>
      </c>
      <c r="O79">
        <v>0.33</v>
      </c>
      <c r="P79">
        <v>95.91</v>
      </c>
      <c r="Q79">
        <v>0</v>
      </c>
    </row>
    <row r="80" spans="1:17" x14ac:dyDescent="0.25">
      <c r="A80" s="5" t="s">
        <v>28</v>
      </c>
      <c r="B80" s="5" t="s">
        <v>32</v>
      </c>
      <c r="C80" s="5" t="s">
        <v>98</v>
      </c>
      <c r="D80">
        <v>5.52</v>
      </c>
      <c r="E80">
        <v>3.81</v>
      </c>
      <c r="F80">
        <v>279.35000000000002</v>
      </c>
      <c r="G80">
        <v>0</v>
      </c>
      <c r="H80">
        <v>279.35000000000002</v>
      </c>
      <c r="I80">
        <v>543.07000000000005</v>
      </c>
      <c r="J80">
        <v>-15.81</v>
      </c>
      <c r="K80">
        <v>73</v>
      </c>
      <c r="L80">
        <v>69.02</v>
      </c>
      <c r="M80">
        <v>8.84</v>
      </c>
      <c r="N80">
        <v>8.83</v>
      </c>
      <c r="O80">
        <v>0.01</v>
      </c>
      <c r="P80">
        <v>99.89</v>
      </c>
      <c r="Q80">
        <v>0</v>
      </c>
    </row>
    <row r="81" spans="1:17" x14ac:dyDescent="0.25">
      <c r="A81" s="5" t="s">
        <v>28</v>
      </c>
      <c r="B81" s="5" t="s">
        <v>32</v>
      </c>
      <c r="C81" s="5" t="s">
        <v>99</v>
      </c>
      <c r="D81">
        <v>2.23</v>
      </c>
      <c r="E81">
        <v>1.8</v>
      </c>
      <c r="F81">
        <v>90.01</v>
      </c>
      <c r="G81">
        <v>0</v>
      </c>
      <c r="H81">
        <v>90.01</v>
      </c>
      <c r="I81">
        <v>6.42</v>
      </c>
      <c r="J81">
        <v>0</v>
      </c>
      <c r="K81">
        <v>50</v>
      </c>
      <c r="L81">
        <v>80.72</v>
      </c>
      <c r="M81">
        <v>7.67</v>
      </c>
      <c r="N81">
        <v>7.66</v>
      </c>
      <c r="O81">
        <v>0.01</v>
      </c>
      <c r="P81">
        <v>99.87</v>
      </c>
      <c r="Q81">
        <v>0</v>
      </c>
    </row>
    <row r="82" spans="1:17" x14ac:dyDescent="0.25">
      <c r="A82" s="5" t="s">
        <v>28</v>
      </c>
      <c r="B82" s="5" t="s">
        <v>32</v>
      </c>
      <c r="C82" s="5" t="s">
        <v>100</v>
      </c>
      <c r="D82">
        <v>20.99</v>
      </c>
      <c r="E82">
        <v>12.86</v>
      </c>
      <c r="F82">
        <v>863.58</v>
      </c>
      <c r="G82">
        <v>0</v>
      </c>
      <c r="H82">
        <v>863.58</v>
      </c>
      <c r="I82">
        <v>1096.5999999999999</v>
      </c>
      <c r="J82">
        <v>-103.75</v>
      </c>
      <c r="K82">
        <v>67</v>
      </c>
      <c r="L82">
        <v>61.27</v>
      </c>
      <c r="M82">
        <v>8.98</v>
      </c>
      <c r="N82">
        <v>8.98</v>
      </c>
      <c r="O82">
        <v>0</v>
      </c>
      <c r="P82">
        <v>100</v>
      </c>
      <c r="Q82">
        <v>0</v>
      </c>
    </row>
    <row r="83" spans="1:17" x14ac:dyDescent="0.25">
      <c r="A83" s="5" t="s">
        <v>28</v>
      </c>
      <c r="B83" s="5" t="s">
        <v>32</v>
      </c>
      <c r="C83" s="5" t="s">
        <v>101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M83">
        <v>0</v>
      </c>
      <c r="N83">
        <v>0</v>
      </c>
      <c r="O83">
        <v>0</v>
      </c>
      <c r="Q83">
        <v>0</v>
      </c>
    </row>
    <row r="84" spans="1:17" x14ac:dyDescent="0.25">
      <c r="A84" s="5" t="s">
        <v>28</v>
      </c>
      <c r="B84" s="5" t="s">
        <v>32</v>
      </c>
      <c r="C84" s="5" t="s">
        <v>102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M84">
        <v>0</v>
      </c>
      <c r="N84">
        <v>0</v>
      </c>
      <c r="O84">
        <v>0</v>
      </c>
      <c r="Q84">
        <v>0</v>
      </c>
    </row>
    <row r="85" spans="1:17" x14ac:dyDescent="0.25">
      <c r="A85" s="5" t="s">
        <v>28</v>
      </c>
      <c r="B85" s="5" t="s">
        <v>32</v>
      </c>
      <c r="C85" s="5" t="s">
        <v>103</v>
      </c>
      <c r="D85">
        <v>11.34</v>
      </c>
      <c r="E85">
        <v>10.4</v>
      </c>
      <c r="F85">
        <v>590.91</v>
      </c>
      <c r="G85">
        <v>0</v>
      </c>
      <c r="H85">
        <v>590.91</v>
      </c>
      <c r="I85">
        <v>567.70000000000005</v>
      </c>
      <c r="J85">
        <v>0</v>
      </c>
      <c r="K85">
        <v>57</v>
      </c>
      <c r="L85">
        <v>91.71</v>
      </c>
      <c r="M85">
        <v>8.82</v>
      </c>
      <c r="N85">
        <v>8.43</v>
      </c>
      <c r="O85">
        <v>0.39</v>
      </c>
      <c r="P85">
        <v>95.58</v>
      </c>
      <c r="Q85">
        <v>0</v>
      </c>
    </row>
    <row r="86" spans="1:17" x14ac:dyDescent="0.25">
      <c r="A86" s="5" t="s">
        <v>28</v>
      </c>
      <c r="B86" s="5" t="s">
        <v>32</v>
      </c>
      <c r="C86" s="5" t="s">
        <v>104</v>
      </c>
      <c r="D86">
        <v>6.71</v>
      </c>
      <c r="E86">
        <v>4.76</v>
      </c>
      <c r="F86">
        <v>250.5</v>
      </c>
      <c r="G86">
        <v>0</v>
      </c>
      <c r="H86">
        <v>250.5</v>
      </c>
      <c r="I86">
        <v>158.33000000000001</v>
      </c>
      <c r="J86">
        <v>-3.12</v>
      </c>
      <c r="K86">
        <v>53</v>
      </c>
      <c r="L86">
        <v>70.94</v>
      </c>
      <c r="M86">
        <v>8.8000000000000007</v>
      </c>
      <c r="N86">
        <v>8.43</v>
      </c>
      <c r="O86">
        <v>0.37</v>
      </c>
      <c r="P86">
        <v>95.8</v>
      </c>
      <c r="Q86">
        <v>0</v>
      </c>
    </row>
    <row r="87" spans="1:17" x14ac:dyDescent="0.25">
      <c r="A87" s="5" t="s">
        <v>28</v>
      </c>
      <c r="B87" s="5" t="s">
        <v>32</v>
      </c>
      <c r="C87" s="5" t="s">
        <v>105</v>
      </c>
      <c r="D87">
        <v>15.83</v>
      </c>
      <c r="E87">
        <v>11.8</v>
      </c>
      <c r="F87">
        <v>763.55</v>
      </c>
      <c r="G87">
        <v>0</v>
      </c>
      <c r="H87">
        <v>763.55</v>
      </c>
      <c r="I87">
        <v>438.21</v>
      </c>
      <c r="J87">
        <v>0</v>
      </c>
      <c r="K87">
        <v>65</v>
      </c>
      <c r="L87">
        <v>74.540000000000006</v>
      </c>
      <c r="M87">
        <v>7.82</v>
      </c>
      <c r="N87">
        <v>7.68</v>
      </c>
      <c r="O87">
        <v>0.14000000000000001</v>
      </c>
      <c r="P87">
        <v>98.21</v>
      </c>
      <c r="Q87">
        <v>0</v>
      </c>
    </row>
    <row r="88" spans="1:17" x14ac:dyDescent="0.25">
      <c r="A88" s="5" t="s">
        <v>28</v>
      </c>
      <c r="B88" s="5" t="s">
        <v>32</v>
      </c>
      <c r="C88" s="5" t="s">
        <v>106</v>
      </c>
      <c r="D88">
        <v>8.39</v>
      </c>
      <c r="E88">
        <v>7.67</v>
      </c>
      <c r="F88">
        <v>450.16</v>
      </c>
      <c r="G88">
        <v>0</v>
      </c>
      <c r="H88">
        <v>450.16</v>
      </c>
      <c r="I88">
        <v>509.68</v>
      </c>
      <c r="J88">
        <v>0</v>
      </c>
      <c r="K88">
        <v>59</v>
      </c>
      <c r="L88">
        <v>91.42</v>
      </c>
      <c r="M88">
        <v>7.68</v>
      </c>
      <c r="N88">
        <v>6.89</v>
      </c>
      <c r="O88">
        <v>0.79</v>
      </c>
      <c r="P88">
        <v>89.71</v>
      </c>
      <c r="Q88">
        <v>0</v>
      </c>
    </row>
    <row r="89" spans="1:17" x14ac:dyDescent="0.25">
      <c r="A89" s="5" t="s">
        <v>28</v>
      </c>
      <c r="B89" s="5" t="s">
        <v>32</v>
      </c>
      <c r="C89" s="5" t="s">
        <v>107</v>
      </c>
      <c r="D89">
        <v>3.46</v>
      </c>
      <c r="E89">
        <v>3.46</v>
      </c>
      <c r="F89">
        <v>310.38</v>
      </c>
      <c r="G89">
        <v>0</v>
      </c>
      <c r="H89">
        <v>310.38</v>
      </c>
      <c r="I89">
        <v>100.73</v>
      </c>
      <c r="J89">
        <v>0</v>
      </c>
      <c r="K89">
        <v>90</v>
      </c>
      <c r="L89">
        <v>100</v>
      </c>
      <c r="M89">
        <v>7.79</v>
      </c>
      <c r="N89">
        <v>6.88</v>
      </c>
      <c r="O89">
        <v>0.91</v>
      </c>
      <c r="P89">
        <v>88.32</v>
      </c>
      <c r="Q89">
        <v>0</v>
      </c>
    </row>
    <row r="90" spans="1:17" x14ac:dyDescent="0.25">
      <c r="A90" s="5" t="s">
        <v>28</v>
      </c>
      <c r="B90" s="5" t="s">
        <v>32</v>
      </c>
      <c r="C90" s="5" t="s">
        <v>108</v>
      </c>
      <c r="D90">
        <v>2.2999999999999998</v>
      </c>
      <c r="E90">
        <v>1.96</v>
      </c>
      <c r="F90">
        <v>128.38</v>
      </c>
      <c r="G90">
        <v>0</v>
      </c>
      <c r="H90">
        <v>128.38</v>
      </c>
      <c r="I90">
        <v>152.38999999999999</v>
      </c>
      <c r="J90">
        <v>0</v>
      </c>
      <c r="K90">
        <v>66</v>
      </c>
      <c r="L90">
        <v>85.22</v>
      </c>
      <c r="M90">
        <v>3.99</v>
      </c>
      <c r="N90">
        <v>3.8</v>
      </c>
      <c r="O90">
        <v>0.19</v>
      </c>
      <c r="P90">
        <v>95.24</v>
      </c>
      <c r="Q90">
        <v>0</v>
      </c>
    </row>
    <row r="91" spans="1:17" x14ac:dyDescent="0.25">
      <c r="A91" s="5" t="s">
        <v>28</v>
      </c>
      <c r="B91" s="5" t="s">
        <v>32</v>
      </c>
      <c r="C91" s="5" t="s">
        <v>109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M91">
        <v>0</v>
      </c>
      <c r="N91">
        <v>0</v>
      </c>
      <c r="O91">
        <v>0</v>
      </c>
      <c r="Q91">
        <v>0</v>
      </c>
    </row>
    <row r="92" spans="1:17" x14ac:dyDescent="0.25">
      <c r="A92" s="5" t="s">
        <v>28</v>
      </c>
      <c r="B92" s="5" t="s">
        <v>32</v>
      </c>
      <c r="C92" s="5" t="s">
        <v>110</v>
      </c>
      <c r="D92">
        <v>7.84</v>
      </c>
      <c r="E92">
        <v>4.43</v>
      </c>
      <c r="F92">
        <v>325.13</v>
      </c>
      <c r="G92">
        <v>0</v>
      </c>
      <c r="H92">
        <v>325.13</v>
      </c>
      <c r="I92">
        <v>559.34</v>
      </c>
      <c r="J92">
        <v>0</v>
      </c>
      <c r="K92">
        <v>73</v>
      </c>
      <c r="L92">
        <v>56.51</v>
      </c>
      <c r="M92">
        <v>8.1199999999999992</v>
      </c>
      <c r="N92">
        <v>7.74</v>
      </c>
      <c r="O92">
        <v>0.38</v>
      </c>
      <c r="P92">
        <v>95.32</v>
      </c>
      <c r="Q92">
        <v>0</v>
      </c>
    </row>
    <row r="93" spans="1:17" x14ac:dyDescent="0.25">
      <c r="A93" s="5" t="s">
        <v>28</v>
      </c>
      <c r="B93" s="5" t="s">
        <v>32</v>
      </c>
      <c r="C93" s="5" t="s">
        <v>111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M93">
        <v>6.76</v>
      </c>
      <c r="N93">
        <v>6.76</v>
      </c>
      <c r="O93">
        <v>0</v>
      </c>
      <c r="P93">
        <v>100</v>
      </c>
      <c r="Q93">
        <v>0</v>
      </c>
    </row>
    <row r="94" spans="1:17" x14ac:dyDescent="0.25">
      <c r="A94" s="5" t="s">
        <v>28</v>
      </c>
      <c r="B94" s="5" t="s">
        <v>32</v>
      </c>
      <c r="C94" s="5" t="s">
        <v>112</v>
      </c>
      <c r="D94">
        <v>19.43</v>
      </c>
      <c r="E94">
        <v>8.9499999999999993</v>
      </c>
      <c r="F94">
        <v>218.82</v>
      </c>
      <c r="G94">
        <v>0</v>
      </c>
      <c r="H94">
        <v>218.82</v>
      </c>
      <c r="I94">
        <v>589.76</v>
      </c>
      <c r="J94">
        <v>0</v>
      </c>
      <c r="K94">
        <v>24</v>
      </c>
      <c r="L94">
        <v>46.06</v>
      </c>
      <c r="M94">
        <v>7.89</v>
      </c>
      <c r="N94">
        <v>7.83</v>
      </c>
      <c r="O94">
        <v>0.06</v>
      </c>
      <c r="P94">
        <v>99.24</v>
      </c>
      <c r="Q94">
        <v>0</v>
      </c>
    </row>
    <row r="95" spans="1:17" x14ac:dyDescent="0.25">
      <c r="A95" s="5" t="s">
        <v>29</v>
      </c>
      <c r="B95" s="5" t="s">
        <v>33</v>
      </c>
      <c r="C95" s="5" t="s">
        <v>82</v>
      </c>
      <c r="D95">
        <v>6.57</v>
      </c>
      <c r="E95">
        <v>7.84</v>
      </c>
      <c r="F95">
        <v>516.14</v>
      </c>
      <c r="G95">
        <v>0</v>
      </c>
      <c r="H95">
        <v>516.14</v>
      </c>
      <c r="I95">
        <v>169.64</v>
      </c>
      <c r="J95">
        <v>0</v>
      </c>
      <c r="K95">
        <v>66</v>
      </c>
      <c r="L95">
        <v>119.33</v>
      </c>
      <c r="M95">
        <v>7.68</v>
      </c>
      <c r="N95">
        <v>7.55</v>
      </c>
      <c r="O95">
        <v>0.13</v>
      </c>
      <c r="P95">
        <v>98.31</v>
      </c>
      <c r="Q95">
        <v>0</v>
      </c>
    </row>
    <row r="96" spans="1:17" x14ac:dyDescent="0.25">
      <c r="A96" s="5" t="s">
        <v>29</v>
      </c>
      <c r="B96" s="5" t="s">
        <v>33</v>
      </c>
      <c r="C96" s="5" t="s">
        <v>83</v>
      </c>
      <c r="D96">
        <v>2.73</v>
      </c>
      <c r="E96">
        <v>2.63</v>
      </c>
      <c r="F96">
        <v>162.72</v>
      </c>
      <c r="G96">
        <v>0</v>
      </c>
      <c r="H96">
        <v>162.72</v>
      </c>
      <c r="I96">
        <v>173.7</v>
      </c>
      <c r="J96">
        <v>0</v>
      </c>
      <c r="K96">
        <v>62</v>
      </c>
      <c r="L96">
        <v>96.34</v>
      </c>
      <c r="M96">
        <v>7.65</v>
      </c>
      <c r="N96">
        <v>7.36</v>
      </c>
      <c r="O96">
        <v>0.28999999999999998</v>
      </c>
      <c r="P96">
        <v>96.21</v>
      </c>
      <c r="Q96">
        <v>0</v>
      </c>
    </row>
    <row r="97" spans="1:17" x14ac:dyDescent="0.25">
      <c r="A97" s="5" t="s">
        <v>29</v>
      </c>
      <c r="B97" s="5" t="s">
        <v>33</v>
      </c>
      <c r="C97" s="5" t="s">
        <v>84</v>
      </c>
      <c r="D97">
        <v>5.93</v>
      </c>
      <c r="E97">
        <v>3.88</v>
      </c>
      <c r="F97">
        <v>255.58</v>
      </c>
      <c r="G97">
        <v>0</v>
      </c>
      <c r="H97">
        <v>255.58</v>
      </c>
      <c r="I97">
        <v>241.49</v>
      </c>
      <c r="J97">
        <v>0</v>
      </c>
      <c r="K97">
        <v>66</v>
      </c>
      <c r="L97">
        <v>65.430000000000007</v>
      </c>
      <c r="M97">
        <v>0</v>
      </c>
      <c r="N97">
        <v>0</v>
      </c>
      <c r="O97">
        <v>0</v>
      </c>
      <c r="Q97">
        <v>0</v>
      </c>
    </row>
    <row r="98" spans="1:17" x14ac:dyDescent="0.25">
      <c r="A98" s="5" t="s">
        <v>29</v>
      </c>
      <c r="B98" s="5" t="s">
        <v>33</v>
      </c>
      <c r="C98" s="5" t="s">
        <v>85</v>
      </c>
      <c r="D98">
        <v>4.16</v>
      </c>
      <c r="E98">
        <v>3.41</v>
      </c>
      <c r="F98">
        <v>205.44</v>
      </c>
      <c r="G98">
        <v>0</v>
      </c>
      <c r="H98">
        <v>205.44</v>
      </c>
      <c r="I98">
        <v>75.239999999999995</v>
      </c>
      <c r="J98">
        <v>0</v>
      </c>
      <c r="K98">
        <v>60</v>
      </c>
      <c r="L98">
        <v>81.97</v>
      </c>
      <c r="M98">
        <v>7.56</v>
      </c>
      <c r="N98">
        <v>7.46</v>
      </c>
      <c r="O98">
        <v>0.1</v>
      </c>
      <c r="P98">
        <v>98.68</v>
      </c>
      <c r="Q98">
        <v>0</v>
      </c>
    </row>
    <row r="99" spans="1:17" x14ac:dyDescent="0.25">
      <c r="A99" s="5" t="s">
        <v>29</v>
      </c>
      <c r="B99" s="5" t="s">
        <v>33</v>
      </c>
      <c r="C99" s="5" t="s">
        <v>86</v>
      </c>
      <c r="D99">
        <v>5.88</v>
      </c>
      <c r="E99">
        <v>6.26</v>
      </c>
      <c r="F99">
        <v>456.64</v>
      </c>
      <c r="G99">
        <v>0</v>
      </c>
      <c r="H99">
        <v>456.64</v>
      </c>
      <c r="I99">
        <v>505.74</v>
      </c>
      <c r="J99">
        <v>6.67</v>
      </c>
      <c r="K99">
        <v>73</v>
      </c>
      <c r="L99">
        <v>106.46</v>
      </c>
      <c r="M99">
        <v>7.73</v>
      </c>
      <c r="N99">
        <v>7.35</v>
      </c>
      <c r="O99">
        <v>0.38</v>
      </c>
      <c r="P99">
        <v>95.08</v>
      </c>
      <c r="Q99">
        <v>0</v>
      </c>
    </row>
    <row r="100" spans="1:17" x14ac:dyDescent="0.25">
      <c r="A100" s="5" t="s">
        <v>29</v>
      </c>
      <c r="B100" s="5" t="s">
        <v>33</v>
      </c>
      <c r="C100" s="5" t="s">
        <v>87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M100">
        <v>0</v>
      </c>
      <c r="N100">
        <v>0</v>
      </c>
      <c r="O100">
        <v>0</v>
      </c>
      <c r="Q100">
        <v>0</v>
      </c>
    </row>
    <row r="101" spans="1:17" x14ac:dyDescent="0.25">
      <c r="A101" s="5" t="s">
        <v>29</v>
      </c>
      <c r="B101" s="5" t="s">
        <v>33</v>
      </c>
      <c r="C101" s="5" t="s">
        <v>88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M101">
        <v>0</v>
      </c>
      <c r="N101">
        <v>0</v>
      </c>
      <c r="O101">
        <v>0</v>
      </c>
      <c r="Q101">
        <v>0</v>
      </c>
    </row>
    <row r="102" spans="1:17" x14ac:dyDescent="0.25">
      <c r="A102" s="5" t="s">
        <v>29</v>
      </c>
      <c r="B102" s="5" t="s">
        <v>33</v>
      </c>
      <c r="C102" s="5" t="s">
        <v>89</v>
      </c>
      <c r="D102">
        <v>11.22</v>
      </c>
      <c r="E102">
        <v>9.2799999999999994</v>
      </c>
      <c r="F102">
        <v>568.86</v>
      </c>
      <c r="G102">
        <v>0</v>
      </c>
      <c r="H102">
        <v>568.86</v>
      </c>
      <c r="I102">
        <v>332.79</v>
      </c>
      <c r="J102">
        <v>0</v>
      </c>
      <c r="K102">
        <v>61</v>
      </c>
      <c r="L102">
        <v>82.71</v>
      </c>
      <c r="M102">
        <v>7.61</v>
      </c>
      <c r="N102">
        <v>7.56</v>
      </c>
      <c r="O102">
        <v>0.05</v>
      </c>
      <c r="P102">
        <v>99.34</v>
      </c>
      <c r="Q102">
        <v>0</v>
      </c>
    </row>
    <row r="103" spans="1:17" x14ac:dyDescent="0.25">
      <c r="A103" s="5" t="s">
        <v>29</v>
      </c>
      <c r="B103" s="5" t="s">
        <v>33</v>
      </c>
      <c r="C103" s="5" t="s">
        <v>90</v>
      </c>
      <c r="D103">
        <v>3.84</v>
      </c>
      <c r="E103">
        <v>3.05</v>
      </c>
      <c r="F103">
        <v>196.29</v>
      </c>
      <c r="G103">
        <v>0</v>
      </c>
      <c r="H103">
        <v>196.29</v>
      </c>
      <c r="I103">
        <v>167.45</v>
      </c>
      <c r="J103">
        <v>0</v>
      </c>
      <c r="K103">
        <v>64</v>
      </c>
      <c r="L103">
        <v>79.430000000000007</v>
      </c>
      <c r="M103">
        <v>8.08</v>
      </c>
      <c r="N103">
        <v>7.82</v>
      </c>
      <c r="O103">
        <v>0.26</v>
      </c>
      <c r="P103">
        <v>96.78</v>
      </c>
      <c r="Q103">
        <v>0</v>
      </c>
    </row>
    <row r="104" spans="1:17" x14ac:dyDescent="0.25">
      <c r="A104" s="5" t="s">
        <v>29</v>
      </c>
      <c r="B104" s="5" t="s">
        <v>33</v>
      </c>
      <c r="C104" s="5" t="s">
        <v>91</v>
      </c>
      <c r="D104">
        <v>6.1</v>
      </c>
      <c r="E104">
        <v>3.96</v>
      </c>
      <c r="F104">
        <v>273.04000000000002</v>
      </c>
      <c r="G104">
        <v>0</v>
      </c>
      <c r="H104">
        <v>273.04000000000002</v>
      </c>
      <c r="I104">
        <v>121.18</v>
      </c>
      <c r="J104">
        <v>0</v>
      </c>
      <c r="K104">
        <v>69</v>
      </c>
      <c r="L104">
        <v>64.92</v>
      </c>
      <c r="M104">
        <v>7.72</v>
      </c>
      <c r="N104">
        <v>7.59</v>
      </c>
      <c r="O104">
        <v>0.13</v>
      </c>
      <c r="P104">
        <v>98.32</v>
      </c>
      <c r="Q104">
        <v>0</v>
      </c>
    </row>
    <row r="105" spans="1:17" x14ac:dyDescent="0.25">
      <c r="A105" s="5" t="s">
        <v>29</v>
      </c>
      <c r="B105" s="5" t="s">
        <v>33</v>
      </c>
      <c r="C105" s="5" t="s">
        <v>92</v>
      </c>
      <c r="D105">
        <v>7.44</v>
      </c>
      <c r="E105">
        <v>5.36</v>
      </c>
      <c r="F105">
        <v>364.02</v>
      </c>
      <c r="G105">
        <v>0</v>
      </c>
      <c r="H105">
        <v>364.02</v>
      </c>
      <c r="I105">
        <v>512.14</v>
      </c>
      <c r="J105">
        <v>0</v>
      </c>
      <c r="K105">
        <v>68</v>
      </c>
      <c r="L105">
        <v>72.040000000000006</v>
      </c>
      <c r="M105">
        <v>7.71</v>
      </c>
      <c r="N105">
        <v>7.67</v>
      </c>
      <c r="O105">
        <v>0.04</v>
      </c>
      <c r="P105">
        <v>99.48</v>
      </c>
      <c r="Q105">
        <v>0</v>
      </c>
    </row>
    <row r="106" spans="1:17" x14ac:dyDescent="0.25">
      <c r="A106" s="5" t="s">
        <v>29</v>
      </c>
      <c r="B106" s="5" t="s">
        <v>33</v>
      </c>
      <c r="C106" s="5" t="s">
        <v>93</v>
      </c>
      <c r="D106">
        <v>1.03</v>
      </c>
      <c r="E106">
        <v>0.69</v>
      </c>
      <c r="F106">
        <v>35.57</v>
      </c>
      <c r="G106">
        <v>0</v>
      </c>
      <c r="H106">
        <v>35.57</v>
      </c>
      <c r="I106">
        <v>19.73</v>
      </c>
      <c r="J106">
        <v>0</v>
      </c>
      <c r="K106">
        <v>52</v>
      </c>
      <c r="L106">
        <v>66.989999999999995</v>
      </c>
      <c r="M106">
        <v>7.67</v>
      </c>
      <c r="N106">
        <v>7.66</v>
      </c>
      <c r="O106">
        <v>0.01</v>
      </c>
      <c r="P106">
        <v>99.87</v>
      </c>
      <c r="Q106">
        <v>0</v>
      </c>
    </row>
    <row r="107" spans="1:17" x14ac:dyDescent="0.25">
      <c r="A107" s="5" t="s">
        <v>29</v>
      </c>
      <c r="B107" s="5" t="s">
        <v>33</v>
      </c>
      <c r="C107" s="5" t="s">
        <v>94</v>
      </c>
      <c r="D107">
        <v>4.74</v>
      </c>
      <c r="E107">
        <v>4.17</v>
      </c>
      <c r="F107">
        <v>302.99</v>
      </c>
      <c r="G107">
        <v>0</v>
      </c>
      <c r="H107">
        <v>302.99</v>
      </c>
      <c r="I107">
        <v>252.19</v>
      </c>
      <c r="J107">
        <v>0</v>
      </c>
      <c r="K107">
        <v>73</v>
      </c>
      <c r="L107">
        <v>87.97</v>
      </c>
      <c r="M107">
        <v>0</v>
      </c>
      <c r="N107">
        <v>0</v>
      </c>
      <c r="O107">
        <v>0</v>
      </c>
      <c r="Q107">
        <v>0</v>
      </c>
    </row>
    <row r="108" spans="1:17" x14ac:dyDescent="0.25">
      <c r="A108" s="5" t="s">
        <v>29</v>
      </c>
      <c r="B108" s="5" t="s">
        <v>33</v>
      </c>
      <c r="C108" s="5" t="s">
        <v>95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M108">
        <v>0</v>
      </c>
      <c r="N108">
        <v>0</v>
      </c>
      <c r="O108">
        <v>0</v>
      </c>
      <c r="Q108">
        <v>0</v>
      </c>
    </row>
    <row r="109" spans="1:17" x14ac:dyDescent="0.25">
      <c r="A109" s="5" t="s">
        <v>29</v>
      </c>
      <c r="B109" s="5" t="s">
        <v>33</v>
      </c>
      <c r="C109" s="5" t="s">
        <v>96</v>
      </c>
      <c r="D109">
        <v>7.06</v>
      </c>
      <c r="E109">
        <v>4.3</v>
      </c>
      <c r="F109">
        <v>365.75</v>
      </c>
      <c r="G109">
        <v>0</v>
      </c>
      <c r="H109">
        <v>365.75</v>
      </c>
      <c r="I109">
        <v>968.99</v>
      </c>
      <c r="J109">
        <v>0</v>
      </c>
      <c r="K109">
        <v>85</v>
      </c>
      <c r="L109">
        <v>60.91</v>
      </c>
      <c r="M109">
        <v>7.6</v>
      </c>
      <c r="N109">
        <v>7.39</v>
      </c>
      <c r="O109">
        <v>0.21</v>
      </c>
      <c r="P109">
        <v>97.24</v>
      </c>
      <c r="Q109">
        <v>0</v>
      </c>
    </row>
    <row r="110" spans="1:17" x14ac:dyDescent="0.25">
      <c r="A110" s="5" t="s">
        <v>29</v>
      </c>
      <c r="B110" s="5" t="s">
        <v>33</v>
      </c>
      <c r="C110" s="5" t="s">
        <v>97</v>
      </c>
      <c r="D110">
        <v>9.5500000000000007</v>
      </c>
      <c r="E110">
        <v>10.61</v>
      </c>
      <c r="F110">
        <v>736.04</v>
      </c>
      <c r="G110">
        <v>0</v>
      </c>
      <c r="H110">
        <v>736.04</v>
      </c>
      <c r="I110">
        <v>518.6</v>
      </c>
      <c r="J110">
        <v>0</v>
      </c>
      <c r="K110">
        <v>69</v>
      </c>
      <c r="L110">
        <v>111.1</v>
      </c>
      <c r="M110">
        <v>7.63</v>
      </c>
      <c r="N110">
        <v>7.58</v>
      </c>
      <c r="O110">
        <v>0.05</v>
      </c>
      <c r="P110">
        <v>99.34</v>
      </c>
      <c r="Q110">
        <v>0</v>
      </c>
    </row>
    <row r="111" spans="1:17" x14ac:dyDescent="0.25">
      <c r="A111" s="5" t="s">
        <v>29</v>
      </c>
      <c r="B111" s="5" t="s">
        <v>33</v>
      </c>
      <c r="C111" s="5" t="s">
        <v>98</v>
      </c>
      <c r="D111">
        <v>5.8</v>
      </c>
      <c r="E111">
        <v>3.98</v>
      </c>
      <c r="F111">
        <v>215.05</v>
      </c>
      <c r="G111">
        <v>0</v>
      </c>
      <c r="H111">
        <v>215.05</v>
      </c>
      <c r="I111">
        <v>143.15</v>
      </c>
      <c r="J111">
        <v>0</v>
      </c>
      <c r="K111">
        <v>54</v>
      </c>
      <c r="L111">
        <v>68.62</v>
      </c>
      <c r="M111">
        <v>7.62</v>
      </c>
      <c r="N111">
        <v>7.57</v>
      </c>
      <c r="O111">
        <v>0.05</v>
      </c>
      <c r="P111">
        <v>99.34</v>
      </c>
      <c r="Q111">
        <v>0</v>
      </c>
    </row>
    <row r="112" spans="1:17" x14ac:dyDescent="0.25">
      <c r="A112" s="5" t="s">
        <v>29</v>
      </c>
      <c r="B112" s="5" t="s">
        <v>33</v>
      </c>
      <c r="C112" s="5" t="s">
        <v>99</v>
      </c>
      <c r="D112">
        <v>15.93</v>
      </c>
      <c r="E112">
        <v>14.6</v>
      </c>
      <c r="F112">
        <v>749.42</v>
      </c>
      <c r="G112">
        <v>0</v>
      </c>
      <c r="H112">
        <v>749.42</v>
      </c>
      <c r="I112">
        <v>1461.37</v>
      </c>
      <c r="J112">
        <v>0</v>
      </c>
      <c r="K112">
        <v>51</v>
      </c>
      <c r="L112">
        <v>91.65</v>
      </c>
      <c r="M112">
        <v>7.77</v>
      </c>
      <c r="N112">
        <v>7.69</v>
      </c>
      <c r="O112">
        <v>0.08</v>
      </c>
      <c r="P112">
        <v>98.97</v>
      </c>
      <c r="Q112">
        <v>0</v>
      </c>
    </row>
    <row r="113" spans="1:17" x14ac:dyDescent="0.25">
      <c r="A113" s="5" t="s">
        <v>29</v>
      </c>
      <c r="B113" s="5" t="s">
        <v>33</v>
      </c>
      <c r="C113" s="5" t="s">
        <v>100</v>
      </c>
      <c r="D113">
        <v>8.25</v>
      </c>
      <c r="E113">
        <v>8.06</v>
      </c>
      <c r="F113">
        <v>577.38</v>
      </c>
      <c r="G113">
        <v>0</v>
      </c>
      <c r="H113">
        <v>577.38</v>
      </c>
      <c r="I113">
        <v>736.59</v>
      </c>
      <c r="J113">
        <v>0</v>
      </c>
      <c r="K113">
        <v>72</v>
      </c>
      <c r="L113">
        <v>97.7</v>
      </c>
      <c r="M113">
        <v>7.73</v>
      </c>
      <c r="N113">
        <v>7.63</v>
      </c>
      <c r="O113">
        <v>0.1</v>
      </c>
      <c r="P113">
        <v>98.71</v>
      </c>
      <c r="Q113">
        <v>0</v>
      </c>
    </row>
    <row r="114" spans="1:17" x14ac:dyDescent="0.25">
      <c r="A114" s="5" t="s">
        <v>29</v>
      </c>
      <c r="B114" s="5" t="s">
        <v>33</v>
      </c>
      <c r="C114" s="5" t="s">
        <v>101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M114">
        <v>0</v>
      </c>
      <c r="N114">
        <v>0</v>
      </c>
      <c r="O114">
        <v>0</v>
      </c>
      <c r="Q114">
        <v>0</v>
      </c>
    </row>
    <row r="115" spans="1:17" x14ac:dyDescent="0.25">
      <c r="A115" s="5" t="s">
        <v>29</v>
      </c>
      <c r="B115" s="5" t="s">
        <v>33</v>
      </c>
      <c r="C115" s="5" t="s">
        <v>102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M115">
        <v>0</v>
      </c>
      <c r="N115">
        <v>0</v>
      </c>
      <c r="O115">
        <v>0</v>
      </c>
      <c r="Q115">
        <v>0</v>
      </c>
    </row>
    <row r="116" spans="1:17" x14ac:dyDescent="0.25">
      <c r="A116" s="5" t="s">
        <v>29</v>
      </c>
      <c r="B116" s="5" t="s">
        <v>33</v>
      </c>
      <c r="C116" s="5" t="s">
        <v>103</v>
      </c>
      <c r="D116">
        <v>4.5199999999999996</v>
      </c>
      <c r="E116">
        <v>3.33</v>
      </c>
      <c r="F116">
        <v>182.32</v>
      </c>
      <c r="G116">
        <v>0</v>
      </c>
      <c r="H116">
        <v>182.32</v>
      </c>
      <c r="I116">
        <v>203.7</v>
      </c>
      <c r="J116">
        <v>0</v>
      </c>
      <c r="K116">
        <v>55</v>
      </c>
      <c r="L116">
        <v>73.67</v>
      </c>
      <c r="M116">
        <v>7.66</v>
      </c>
      <c r="N116">
        <v>7.54</v>
      </c>
      <c r="O116">
        <v>0.12</v>
      </c>
      <c r="P116">
        <v>98.43</v>
      </c>
      <c r="Q116">
        <v>0</v>
      </c>
    </row>
    <row r="117" spans="1:17" x14ac:dyDescent="0.25">
      <c r="A117" s="5" t="s">
        <v>29</v>
      </c>
      <c r="B117" s="5" t="s">
        <v>33</v>
      </c>
      <c r="C117" s="5" t="s">
        <v>104</v>
      </c>
      <c r="D117">
        <v>10.45</v>
      </c>
      <c r="E117">
        <v>8.84</v>
      </c>
      <c r="F117">
        <v>639.46</v>
      </c>
      <c r="G117">
        <v>0</v>
      </c>
      <c r="H117">
        <v>639.46</v>
      </c>
      <c r="I117">
        <v>835.15</v>
      </c>
      <c r="J117">
        <v>0</v>
      </c>
      <c r="K117">
        <v>72</v>
      </c>
      <c r="L117">
        <v>84.59</v>
      </c>
      <c r="M117">
        <v>7.73</v>
      </c>
      <c r="N117">
        <v>7.72</v>
      </c>
      <c r="O117">
        <v>0.01</v>
      </c>
      <c r="P117">
        <v>99.87</v>
      </c>
      <c r="Q117">
        <v>0</v>
      </c>
    </row>
    <row r="118" spans="1:17" x14ac:dyDescent="0.25">
      <c r="A118" s="5" t="s">
        <v>29</v>
      </c>
      <c r="B118" s="5" t="s">
        <v>33</v>
      </c>
      <c r="C118" s="5" t="s">
        <v>105</v>
      </c>
      <c r="D118">
        <v>5.61</v>
      </c>
      <c r="E118">
        <v>4.99</v>
      </c>
      <c r="F118">
        <v>310.67</v>
      </c>
      <c r="G118">
        <v>0</v>
      </c>
      <c r="H118">
        <v>310.67</v>
      </c>
      <c r="I118">
        <v>175.83</v>
      </c>
      <c r="J118">
        <v>0</v>
      </c>
      <c r="K118">
        <v>62</v>
      </c>
      <c r="L118">
        <v>88.95</v>
      </c>
      <c r="M118">
        <v>7.6</v>
      </c>
      <c r="N118">
        <v>7.48</v>
      </c>
      <c r="O118">
        <v>0.12</v>
      </c>
      <c r="P118">
        <v>98.42</v>
      </c>
      <c r="Q118">
        <v>0</v>
      </c>
    </row>
    <row r="119" spans="1:17" x14ac:dyDescent="0.25">
      <c r="A119" s="5" t="s">
        <v>29</v>
      </c>
      <c r="B119" s="5" t="s">
        <v>33</v>
      </c>
      <c r="C119" s="5" t="s">
        <v>106</v>
      </c>
      <c r="D119">
        <v>9.89</v>
      </c>
      <c r="E119">
        <v>10.42</v>
      </c>
      <c r="F119">
        <v>755.84</v>
      </c>
      <c r="G119">
        <v>0</v>
      </c>
      <c r="H119">
        <v>755.84</v>
      </c>
      <c r="I119">
        <v>619.04</v>
      </c>
      <c r="J119">
        <v>-29.99</v>
      </c>
      <c r="K119">
        <v>73</v>
      </c>
      <c r="L119">
        <v>105.36</v>
      </c>
      <c r="M119">
        <v>7.73</v>
      </c>
      <c r="N119">
        <v>7.73</v>
      </c>
      <c r="O119">
        <v>0</v>
      </c>
      <c r="P119">
        <v>100</v>
      </c>
      <c r="Q119">
        <v>0</v>
      </c>
    </row>
    <row r="120" spans="1:17" x14ac:dyDescent="0.25">
      <c r="A120" s="5" t="s">
        <v>29</v>
      </c>
      <c r="B120" s="5" t="s">
        <v>33</v>
      </c>
      <c r="C120" s="5" t="s">
        <v>107</v>
      </c>
      <c r="D120">
        <v>4.87</v>
      </c>
      <c r="E120">
        <v>3.18</v>
      </c>
      <c r="F120">
        <v>174.6</v>
      </c>
      <c r="G120">
        <v>0</v>
      </c>
      <c r="H120">
        <v>174.6</v>
      </c>
      <c r="I120">
        <v>165.21</v>
      </c>
      <c r="J120">
        <v>0</v>
      </c>
      <c r="K120">
        <v>55</v>
      </c>
      <c r="L120">
        <v>65.3</v>
      </c>
      <c r="M120">
        <v>7.7</v>
      </c>
      <c r="N120">
        <v>7.59</v>
      </c>
      <c r="O120">
        <v>0.11</v>
      </c>
      <c r="P120">
        <v>98.57</v>
      </c>
      <c r="Q120">
        <v>0</v>
      </c>
    </row>
    <row r="121" spans="1:17" x14ac:dyDescent="0.25">
      <c r="A121" s="5" t="s">
        <v>29</v>
      </c>
      <c r="B121" s="5" t="s">
        <v>33</v>
      </c>
      <c r="C121" s="5" t="s">
        <v>108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M121">
        <v>0</v>
      </c>
      <c r="N121">
        <v>0</v>
      </c>
      <c r="O121">
        <v>0</v>
      </c>
      <c r="Q121">
        <v>0</v>
      </c>
    </row>
    <row r="122" spans="1:17" x14ac:dyDescent="0.25">
      <c r="A122" s="5" t="s">
        <v>29</v>
      </c>
      <c r="B122" s="5" t="s">
        <v>33</v>
      </c>
      <c r="C122" s="5" t="s">
        <v>109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M122">
        <v>0</v>
      </c>
      <c r="N122">
        <v>0</v>
      </c>
      <c r="O122">
        <v>0</v>
      </c>
      <c r="Q122">
        <v>0</v>
      </c>
    </row>
    <row r="123" spans="1:17" x14ac:dyDescent="0.25">
      <c r="A123" s="5" t="s">
        <v>29</v>
      </c>
      <c r="B123" s="5" t="s">
        <v>33</v>
      </c>
      <c r="C123" s="5" t="s">
        <v>110</v>
      </c>
      <c r="D123">
        <v>10.33</v>
      </c>
      <c r="E123">
        <v>10.07</v>
      </c>
      <c r="F123">
        <v>584.84</v>
      </c>
      <c r="G123">
        <v>0</v>
      </c>
      <c r="H123">
        <v>584.84</v>
      </c>
      <c r="I123">
        <v>422.01</v>
      </c>
      <c r="J123">
        <v>0</v>
      </c>
      <c r="K123">
        <v>58</v>
      </c>
      <c r="L123">
        <v>97.48</v>
      </c>
      <c r="M123">
        <v>7.76</v>
      </c>
      <c r="N123">
        <v>7.57</v>
      </c>
      <c r="O123">
        <v>0.19</v>
      </c>
      <c r="P123">
        <v>97.55</v>
      </c>
      <c r="Q123">
        <v>0</v>
      </c>
    </row>
    <row r="124" spans="1:17" x14ac:dyDescent="0.25">
      <c r="A124" s="5" t="s">
        <v>29</v>
      </c>
      <c r="B124" s="5" t="s">
        <v>33</v>
      </c>
      <c r="C124" s="5" t="s">
        <v>111</v>
      </c>
      <c r="D124">
        <v>5.13</v>
      </c>
      <c r="E124">
        <v>4.84</v>
      </c>
      <c r="F124">
        <v>305.42</v>
      </c>
      <c r="G124">
        <v>0</v>
      </c>
      <c r="H124">
        <v>305.42</v>
      </c>
      <c r="I124">
        <v>365.26</v>
      </c>
      <c r="J124">
        <v>0</v>
      </c>
      <c r="K124">
        <v>63</v>
      </c>
      <c r="L124">
        <v>94.35</v>
      </c>
      <c r="M124">
        <v>7.52</v>
      </c>
      <c r="N124">
        <v>6.93</v>
      </c>
      <c r="O124">
        <v>0.59</v>
      </c>
      <c r="P124">
        <v>92.15</v>
      </c>
      <c r="Q124">
        <v>0</v>
      </c>
    </row>
    <row r="125" spans="1:17" x14ac:dyDescent="0.25">
      <c r="A125" s="5" t="s">
        <v>29</v>
      </c>
      <c r="B125" s="5" t="s">
        <v>33</v>
      </c>
      <c r="C125" s="5" t="s">
        <v>112</v>
      </c>
      <c r="D125">
        <v>7.07</v>
      </c>
      <c r="E125">
        <v>7.63</v>
      </c>
      <c r="F125">
        <v>476.95</v>
      </c>
      <c r="G125">
        <v>0</v>
      </c>
      <c r="H125">
        <v>476.95</v>
      </c>
      <c r="I125">
        <v>615.54</v>
      </c>
      <c r="J125">
        <v>0</v>
      </c>
      <c r="K125">
        <v>63</v>
      </c>
      <c r="L125">
        <v>107.92</v>
      </c>
      <c r="M125">
        <v>7.49</v>
      </c>
      <c r="N125">
        <v>7.49</v>
      </c>
      <c r="O125">
        <v>0</v>
      </c>
      <c r="P125">
        <v>100</v>
      </c>
      <c r="Q125">
        <v>0</v>
      </c>
    </row>
    <row r="126" spans="1:17" x14ac:dyDescent="0.25">
      <c r="A126" s="5" t="s">
        <v>52</v>
      </c>
      <c r="B126" s="5" t="s">
        <v>51</v>
      </c>
      <c r="C126" s="5" t="s">
        <v>82</v>
      </c>
      <c r="D126">
        <v>5.79</v>
      </c>
      <c r="E126">
        <v>4.32</v>
      </c>
      <c r="F126">
        <v>239.21</v>
      </c>
      <c r="G126">
        <v>0</v>
      </c>
      <c r="H126">
        <v>239.21</v>
      </c>
      <c r="I126">
        <v>229.24</v>
      </c>
      <c r="J126">
        <v>0</v>
      </c>
      <c r="K126">
        <v>55</v>
      </c>
      <c r="L126">
        <v>74.61</v>
      </c>
      <c r="M126">
        <v>7.66</v>
      </c>
      <c r="N126">
        <v>7.1</v>
      </c>
      <c r="O126">
        <v>0.56000000000000005</v>
      </c>
      <c r="P126">
        <v>92.69</v>
      </c>
      <c r="Q126">
        <v>0</v>
      </c>
    </row>
    <row r="127" spans="1:17" x14ac:dyDescent="0.25">
      <c r="A127" s="5" t="s">
        <v>52</v>
      </c>
      <c r="B127" s="5" t="s">
        <v>51</v>
      </c>
      <c r="C127" s="5" t="s">
        <v>83</v>
      </c>
      <c r="D127">
        <v>4.62</v>
      </c>
      <c r="E127">
        <v>2.4</v>
      </c>
      <c r="F127">
        <v>135.81</v>
      </c>
      <c r="G127">
        <v>0</v>
      </c>
      <c r="H127">
        <v>135.81</v>
      </c>
      <c r="I127">
        <v>129.41</v>
      </c>
      <c r="J127">
        <v>0</v>
      </c>
      <c r="K127">
        <v>57</v>
      </c>
      <c r="L127">
        <v>51.95</v>
      </c>
      <c r="M127">
        <v>7.64</v>
      </c>
      <c r="N127">
        <v>7.51</v>
      </c>
      <c r="O127">
        <v>0.13</v>
      </c>
      <c r="P127">
        <v>98.3</v>
      </c>
      <c r="Q127">
        <v>0</v>
      </c>
    </row>
    <row r="128" spans="1:17" x14ac:dyDescent="0.25">
      <c r="A128" s="5" t="s">
        <v>52</v>
      </c>
      <c r="B128" s="5" t="s">
        <v>51</v>
      </c>
      <c r="C128" s="5" t="s">
        <v>84</v>
      </c>
      <c r="D128">
        <v>4.78</v>
      </c>
      <c r="E128">
        <v>4.16</v>
      </c>
      <c r="F128">
        <v>250.1</v>
      </c>
      <c r="G128">
        <v>0</v>
      </c>
      <c r="H128">
        <v>250.1</v>
      </c>
      <c r="I128">
        <v>205.07</v>
      </c>
      <c r="J128">
        <v>0</v>
      </c>
      <c r="K128">
        <v>60</v>
      </c>
      <c r="L128">
        <v>87.03</v>
      </c>
      <c r="M128">
        <v>7.98</v>
      </c>
      <c r="N128">
        <v>7.46</v>
      </c>
      <c r="O128">
        <v>0.52</v>
      </c>
      <c r="P128">
        <v>93.48</v>
      </c>
      <c r="Q128">
        <v>0</v>
      </c>
    </row>
    <row r="129" spans="1:17" x14ac:dyDescent="0.25">
      <c r="A129" s="5" t="s">
        <v>52</v>
      </c>
      <c r="B129" s="5" t="s">
        <v>51</v>
      </c>
      <c r="C129" s="5" t="s">
        <v>85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M129">
        <v>7.42</v>
      </c>
      <c r="N129">
        <v>7.42</v>
      </c>
      <c r="O129">
        <v>0</v>
      </c>
      <c r="P129">
        <v>100</v>
      </c>
      <c r="Q129">
        <v>0</v>
      </c>
    </row>
    <row r="130" spans="1:17" x14ac:dyDescent="0.25">
      <c r="A130" s="5" t="s">
        <v>52</v>
      </c>
      <c r="B130" s="5" t="s">
        <v>51</v>
      </c>
      <c r="C130" s="5" t="s">
        <v>86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M130">
        <v>7.98</v>
      </c>
      <c r="N130">
        <v>7.98</v>
      </c>
      <c r="O130">
        <v>0</v>
      </c>
      <c r="P130">
        <v>100</v>
      </c>
      <c r="Q130">
        <v>0</v>
      </c>
    </row>
    <row r="131" spans="1:17" x14ac:dyDescent="0.25">
      <c r="A131" s="5" t="s">
        <v>52</v>
      </c>
      <c r="B131" s="5" t="s">
        <v>51</v>
      </c>
      <c r="C131" s="5" t="s">
        <v>87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M131">
        <v>0</v>
      </c>
      <c r="N131">
        <v>0</v>
      </c>
      <c r="O131">
        <v>0</v>
      </c>
      <c r="Q131">
        <v>0</v>
      </c>
    </row>
    <row r="132" spans="1:17" x14ac:dyDescent="0.25">
      <c r="A132" s="5" t="s">
        <v>52</v>
      </c>
      <c r="B132" s="5" t="s">
        <v>51</v>
      </c>
      <c r="C132" s="5" t="s">
        <v>88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M132">
        <v>0</v>
      </c>
      <c r="N132">
        <v>0</v>
      </c>
      <c r="O132">
        <v>0</v>
      </c>
      <c r="Q132">
        <v>0</v>
      </c>
    </row>
    <row r="133" spans="1:17" x14ac:dyDescent="0.25">
      <c r="A133" s="5" t="s">
        <v>52</v>
      </c>
      <c r="B133" s="5" t="s">
        <v>51</v>
      </c>
      <c r="C133" s="5" t="s">
        <v>89</v>
      </c>
      <c r="D133">
        <v>0.4</v>
      </c>
      <c r="E133">
        <v>0.33</v>
      </c>
      <c r="F133">
        <v>22.05</v>
      </c>
      <c r="G133">
        <v>0</v>
      </c>
      <c r="H133">
        <v>22.05</v>
      </c>
      <c r="I133">
        <v>8.33</v>
      </c>
      <c r="J133">
        <v>0</v>
      </c>
      <c r="K133">
        <v>67</v>
      </c>
      <c r="L133">
        <v>82.5</v>
      </c>
      <c r="M133">
        <v>8.36</v>
      </c>
      <c r="N133">
        <v>6.96</v>
      </c>
      <c r="O133">
        <v>1.4</v>
      </c>
      <c r="P133">
        <v>83.25</v>
      </c>
      <c r="Q133">
        <v>0</v>
      </c>
    </row>
    <row r="134" spans="1:17" x14ac:dyDescent="0.25">
      <c r="A134" s="5" t="s">
        <v>52</v>
      </c>
      <c r="B134" s="5" t="s">
        <v>51</v>
      </c>
      <c r="C134" s="5" t="s">
        <v>90</v>
      </c>
      <c r="D134">
        <v>0.48</v>
      </c>
      <c r="E134">
        <v>0.13</v>
      </c>
      <c r="F134">
        <v>9.81</v>
      </c>
      <c r="G134">
        <v>0</v>
      </c>
      <c r="H134">
        <v>9.81</v>
      </c>
      <c r="I134">
        <v>13.89</v>
      </c>
      <c r="J134">
        <v>0</v>
      </c>
      <c r="K134">
        <v>75</v>
      </c>
      <c r="L134">
        <v>27.08</v>
      </c>
      <c r="M134">
        <v>0</v>
      </c>
      <c r="N134">
        <v>0</v>
      </c>
      <c r="O134">
        <v>0</v>
      </c>
      <c r="Q134">
        <v>0</v>
      </c>
    </row>
    <row r="135" spans="1:17" x14ac:dyDescent="0.25">
      <c r="A135" s="5" t="s">
        <v>52</v>
      </c>
      <c r="B135" s="5" t="s">
        <v>51</v>
      </c>
      <c r="C135" s="5" t="s">
        <v>91</v>
      </c>
      <c r="D135">
        <v>1.41</v>
      </c>
      <c r="E135">
        <v>0.51</v>
      </c>
      <c r="F135">
        <v>33.35</v>
      </c>
      <c r="G135">
        <v>0</v>
      </c>
      <c r="H135">
        <v>33.35</v>
      </c>
      <c r="I135">
        <v>13</v>
      </c>
      <c r="J135">
        <v>0</v>
      </c>
      <c r="K135">
        <v>65</v>
      </c>
      <c r="L135">
        <v>36.17</v>
      </c>
      <c r="M135">
        <v>0</v>
      </c>
      <c r="N135">
        <v>0</v>
      </c>
      <c r="O135">
        <v>0</v>
      </c>
      <c r="Q135">
        <v>0</v>
      </c>
    </row>
    <row r="136" spans="1:17" x14ac:dyDescent="0.25">
      <c r="A136" s="5" t="s">
        <v>52</v>
      </c>
      <c r="B136" s="5" t="s">
        <v>51</v>
      </c>
      <c r="C136" s="5" t="s">
        <v>92</v>
      </c>
      <c r="D136">
        <v>6.79</v>
      </c>
      <c r="E136">
        <v>4.13</v>
      </c>
      <c r="F136">
        <v>314.81</v>
      </c>
      <c r="G136">
        <v>0</v>
      </c>
      <c r="H136">
        <v>314.81</v>
      </c>
      <c r="I136">
        <v>449.56</v>
      </c>
      <c r="J136">
        <v>0</v>
      </c>
      <c r="K136">
        <v>76</v>
      </c>
      <c r="L136">
        <v>60.82</v>
      </c>
      <c r="M136">
        <v>7.55</v>
      </c>
      <c r="N136">
        <v>7.47</v>
      </c>
      <c r="O136">
        <v>0.08</v>
      </c>
      <c r="P136">
        <v>98.94</v>
      </c>
      <c r="Q136">
        <v>0</v>
      </c>
    </row>
    <row r="137" spans="1:17" x14ac:dyDescent="0.25">
      <c r="A137" s="5" t="s">
        <v>52</v>
      </c>
      <c r="B137" s="5" t="s">
        <v>51</v>
      </c>
      <c r="C137" s="5" t="s">
        <v>93</v>
      </c>
      <c r="D137">
        <v>3.66</v>
      </c>
      <c r="E137">
        <v>3.61</v>
      </c>
      <c r="F137">
        <v>239.21</v>
      </c>
      <c r="G137">
        <v>0</v>
      </c>
      <c r="H137">
        <v>239.21</v>
      </c>
      <c r="I137">
        <v>363.64</v>
      </c>
      <c r="J137">
        <v>0</v>
      </c>
      <c r="K137">
        <v>66</v>
      </c>
      <c r="L137">
        <v>98.63</v>
      </c>
      <c r="M137">
        <v>7.9</v>
      </c>
      <c r="N137">
        <v>6.97</v>
      </c>
      <c r="O137">
        <v>0.93</v>
      </c>
      <c r="P137">
        <v>88.23</v>
      </c>
      <c r="Q137">
        <v>0</v>
      </c>
    </row>
    <row r="138" spans="1:17" x14ac:dyDescent="0.25">
      <c r="A138" s="5" t="s">
        <v>52</v>
      </c>
      <c r="B138" s="5" t="s">
        <v>51</v>
      </c>
      <c r="C138" s="5" t="s">
        <v>94</v>
      </c>
      <c r="D138">
        <v>2.2799999999999998</v>
      </c>
      <c r="E138">
        <v>2.83</v>
      </c>
      <c r="F138">
        <v>189.56</v>
      </c>
      <c r="G138">
        <v>0</v>
      </c>
      <c r="H138">
        <v>189.56</v>
      </c>
      <c r="I138">
        <v>133.21</v>
      </c>
      <c r="J138">
        <v>-35.82</v>
      </c>
      <c r="K138">
        <v>67</v>
      </c>
      <c r="L138">
        <v>124.12</v>
      </c>
      <c r="M138">
        <v>4.08</v>
      </c>
      <c r="N138">
        <v>2.2799999999999998</v>
      </c>
      <c r="O138">
        <v>1.8</v>
      </c>
      <c r="P138">
        <v>55.88</v>
      </c>
      <c r="Q138">
        <v>0</v>
      </c>
    </row>
    <row r="139" spans="1:17" x14ac:dyDescent="0.25">
      <c r="A139" s="5" t="s">
        <v>52</v>
      </c>
      <c r="B139" s="5" t="s">
        <v>51</v>
      </c>
      <c r="C139" s="5" t="s">
        <v>95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M139">
        <v>0</v>
      </c>
      <c r="N139">
        <v>0</v>
      </c>
      <c r="O139">
        <v>0</v>
      </c>
      <c r="Q139">
        <v>0</v>
      </c>
    </row>
    <row r="140" spans="1:17" x14ac:dyDescent="0.25">
      <c r="A140" s="5" t="s">
        <v>52</v>
      </c>
      <c r="B140" s="5" t="s">
        <v>51</v>
      </c>
      <c r="C140" s="5" t="s">
        <v>96</v>
      </c>
      <c r="D140">
        <v>1.3</v>
      </c>
      <c r="E140">
        <v>1.3</v>
      </c>
      <c r="F140">
        <v>78</v>
      </c>
      <c r="G140">
        <v>0</v>
      </c>
      <c r="H140">
        <v>78</v>
      </c>
      <c r="I140">
        <v>46.59</v>
      </c>
      <c r="J140">
        <v>0</v>
      </c>
      <c r="K140">
        <v>60</v>
      </c>
      <c r="L140">
        <v>100</v>
      </c>
      <c r="M140">
        <v>0</v>
      </c>
      <c r="N140">
        <v>0</v>
      </c>
      <c r="O140">
        <v>0</v>
      </c>
      <c r="Q140">
        <v>0</v>
      </c>
    </row>
    <row r="141" spans="1:17" x14ac:dyDescent="0.25">
      <c r="A141" s="5" t="s">
        <v>52</v>
      </c>
      <c r="B141" s="5" t="s">
        <v>51</v>
      </c>
      <c r="C141" s="5" t="s">
        <v>97</v>
      </c>
      <c r="D141">
        <v>0.93</v>
      </c>
      <c r="E141">
        <v>0.16</v>
      </c>
      <c r="F141">
        <v>13.78</v>
      </c>
      <c r="G141">
        <v>0</v>
      </c>
      <c r="H141">
        <v>13.78</v>
      </c>
      <c r="I141">
        <v>57.87</v>
      </c>
      <c r="J141">
        <v>0</v>
      </c>
      <c r="K141">
        <v>86</v>
      </c>
      <c r="L141">
        <v>17.2</v>
      </c>
      <c r="M141">
        <v>0</v>
      </c>
      <c r="N141">
        <v>0</v>
      </c>
      <c r="O141">
        <v>0</v>
      </c>
      <c r="Q141">
        <v>0</v>
      </c>
    </row>
    <row r="142" spans="1:17" x14ac:dyDescent="0.25">
      <c r="A142" s="5" t="s">
        <v>52</v>
      </c>
      <c r="B142" s="5" t="s">
        <v>51</v>
      </c>
      <c r="C142" s="5" t="s">
        <v>98</v>
      </c>
      <c r="D142">
        <v>3.33</v>
      </c>
      <c r="E142">
        <v>1.37</v>
      </c>
      <c r="F142">
        <v>51.04</v>
      </c>
      <c r="G142">
        <v>0</v>
      </c>
      <c r="H142">
        <v>51.04</v>
      </c>
      <c r="I142">
        <v>24.88</v>
      </c>
      <c r="J142">
        <v>0</v>
      </c>
      <c r="K142">
        <v>37</v>
      </c>
      <c r="L142">
        <v>41.14</v>
      </c>
      <c r="M142">
        <v>0</v>
      </c>
      <c r="N142">
        <v>0</v>
      </c>
      <c r="O142">
        <v>0</v>
      </c>
      <c r="Q142">
        <v>0</v>
      </c>
    </row>
    <row r="143" spans="1:17" x14ac:dyDescent="0.25">
      <c r="A143" s="5" t="s">
        <v>52</v>
      </c>
      <c r="B143" s="5" t="s">
        <v>51</v>
      </c>
      <c r="C143" s="5" t="s">
        <v>99</v>
      </c>
      <c r="D143">
        <v>0.82</v>
      </c>
      <c r="E143">
        <v>0.52</v>
      </c>
      <c r="F143">
        <v>34.51</v>
      </c>
      <c r="G143">
        <v>0</v>
      </c>
      <c r="H143">
        <v>34.51</v>
      </c>
      <c r="I143">
        <v>56.02</v>
      </c>
      <c r="J143">
        <v>0</v>
      </c>
      <c r="K143">
        <v>66</v>
      </c>
      <c r="L143">
        <v>63.41</v>
      </c>
      <c r="M143">
        <v>0</v>
      </c>
      <c r="N143">
        <v>0</v>
      </c>
      <c r="O143">
        <v>0</v>
      </c>
      <c r="Q143">
        <v>0</v>
      </c>
    </row>
    <row r="144" spans="1:17" x14ac:dyDescent="0.25">
      <c r="A144" s="5" t="s">
        <v>52</v>
      </c>
      <c r="B144" s="5" t="s">
        <v>51</v>
      </c>
      <c r="C144" s="5" t="s">
        <v>100</v>
      </c>
      <c r="D144">
        <v>1.49</v>
      </c>
      <c r="E144">
        <v>0.24</v>
      </c>
      <c r="F144">
        <v>15.74</v>
      </c>
      <c r="G144">
        <v>0</v>
      </c>
      <c r="H144">
        <v>15.74</v>
      </c>
      <c r="I144">
        <v>194.35</v>
      </c>
      <c r="J144">
        <v>0</v>
      </c>
      <c r="K144">
        <v>66</v>
      </c>
      <c r="L144">
        <v>16.11</v>
      </c>
      <c r="M144">
        <v>0</v>
      </c>
      <c r="N144">
        <v>0</v>
      </c>
      <c r="O144">
        <v>0</v>
      </c>
      <c r="Q144">
        <v>0</v>
      </c>
    </row>
    <row r="145" spans="1:17" x14ac:dyDescent="0.25">
      <c r="A145" s="5" t="s">
        <v>52</v>
      </c>
      <c r="B145" s="5" t="s">
        <v>51</v>
      </c>
      <c r="C145" s="5" t="s">
        <v>101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M145">
        <v>0</v>
      </c>
      <c r="N145">
        <v>0</v>
      </c>
      <c r="O145">
        <v>0</v>
      </c>
      <c r="Q145">
        <v>0</v>
      </c>
    </row>
    <row r="146" spans="1:17" x14ac:dyDescent="0.25">
      <c r="A146" s="5" t="s">
        <v>52</v>
      </c>
      <c r="B146" s="5" t="s">
        <v>51</v>
      </c>
      <c r="C146" s="5" t="s">
        <v>102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M146">
        <v>0</v>
      </c>
      <c r="N146">
        <v>0</v>
      </c>
      <c r="O146">
        <v>0</v>
      </c>
      <c r="Q146">
        <v>0</v>
      </c>
    </row>
    <row r="147" spans="1:17" x14ac:dyDescent="0.25">
      <c r="A147" s="5" t="s">
        <v>52</v>
      </c>
      <c r="B147" s="5" t="s">
        <v>51</v>
      </c>
      <c r="C147" s="5" t="s">
        <v>103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M147">
        <v>0</v>
      </c>
      <c r="N147">
        <v>0</v>
      </c>
      <c r="O147">
        <v>0</v>
      </c>
      <c r="Q147">
        <v>0</v>
      </c>
    </row>
    <row r="148" spans="1:17" x14ac:dyDescent="0.25">
      <c r="A148" s="5" t="s">
        <v>52</v>
      </c>
      <c r="B148" s="5" t="s">
        <v>51</v>
      </c>
      <c r="C148" s="5" t="s">
        <v>104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M148">
        <v>0</v>
      </c>
      <c r="N148">
        <v>0</v>
      </c>
      <c r="O148">
        <v>0</v>
      </c>
      <c r="Q148">
        <v>0</v>
      </c>
    </row>
    <row r="149" spans="1:17" x14ac:dyDescent="0.25">
      <c r="A149" s="5" t="s">
        <v>52</v>
      </c>
      <c r="B149" s="5" t="s">
        <v>51</v>
      </c>
      <c r="C149" s="5" t="s">
        <v>105</v>
      </c>
      <c r="D149">
        <v>24.14</v>
      </c>
      <c r="E149">
        <v>11</v>
      </c>
      <c r="F149">
        <v>935.01</v>
      </c>
      <c r="G149">
        <v>0</v>
      </c>
      <c r="H149">
        <v>935.01</v>
      </c>
      <c r="I149">
        <v>4676.0600000000004</v>
      </c>
      <c r="J149">
        <v>0</v>
      </c>
      <c r="K149">
        <v>85</v>
      </c>
      <c r="L149">
        <v>45.57</v>
      </c>
      <c r="M149">
        <v>0</v>
      </c>
      <c r="N149">
        <v>0</v>
      </c>
      <c r="O149">
        <v>0</v>
      </c>
      <c r="Q149">
        <v>0</v>
      </c>
    </row>
    <row r="150" spans="1:17" x14ac:dyDescent="0.25">
      <c r="A150" s="5" t="s">
        <v>52</v>
      </c>
      <c r="B150" s="5" t="s">
        <v>51</v>
      </c>
      <c r="C150" s="5" t="s">
        <v>106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M150">
        <v>0</v>
      </c>
      <c r="N150">
        <v>0</v>
      </c>
      <c r="O150">
        <v>0</v>
      </c>
      <c r="Q150">
        <v>0</v>
      </c>
    </row>
    <row r="151" spans="1:17" x14ac:dyDescent="0.25">
      <c r="A151" s="5" t="s">
        <v>52</v>
      </c>
      <c r="B151" s="5" t="s">
        <v>51</v>
      </c>
      <c r="C151" s="5" t="s">
        <v>107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M151">
        <v>0</v>
      </c>
      <c r="N151">
        <v>0</v>
      </c>
      <c r="O151">
        <v>0</v>
      </c>
      <c r="Q151">
        <v>0</v>
      </c>
    </row>
    <row r="152" spans="1:17" x14ac:dyDescent="0.25">
      <c r="A152" s="5" t="s">
        <v>52</v>
      </c>
      <c r="B152" s="5" t="s">
        <v>51</v>
      </c>
      <c r="C152" s="5" t="s">
        <v>108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M152">
        <v>0</v>
      </c>
      <c r="N152">
        <v>0</v>
      </c>
      <c r="O152">
        <v>0</v>
      </c>
      <c r="Q152">
        <v>0</v>
      </c>
    </row>
    <row r="153" spans="1:17" x14ac:dyDescent="0.25">
      <c r="A153" s="5" t="s">
        <v>52</v>
      </c>
      <c r="B153" s="5" t="s">
        <v>51</v>
      </c>
      <c r="C153" s="5" t="s">
        <v>109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M153">
        <v>0</v>
      </c>
      <c r="N153">
        <v>0</v>
      </c>
      <c r="O153">
        <v>0</v>
      </c>
      <c r="Q153">
        <v>0</v>
      </c>
    </row>
    <row r="154" spans="1:17" x14ac:dyDescent="0.25">
      <c r="A154" s="5" t="s">
        <v>52</v>
      </c>
      <c r="B154" s="5" t="s">
        <v>51</v>
      </c>
      <c r="C154" s="5" t="s">
        <v>110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M154">
        <v>0</v>
      </c>
      <c r="N154">
        <v>0</v>
      </c>
      <c r="O154">
        <v>0</v>
      </c>
      <c r="Q154">
        <v>0</v>
      </c>
    </row>
    <row r="155" spans="1:17" x14ac:dyDescent="0.25">
      <c r="A155" s="5" t="s">
        <v>52</v>
      </c>
      <c r="B155" s="5" t="s">
        <v>51</v>
      </c>
      <c r="C155" s="5" t="s">
        <v>111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M155">
        <v>0</v>
      </c>
      <c r="N155">
        <v>0</v>
      </c>
      <c r="O155">
        <v>0</v>
      </c>
      <c r="Q155">
        <v>0</v>
      </c>
    </row>
    <row r="156" spans="1:17" x14ac:dyDescent="0.25">
      <c r="A156" s="5" t="s">
        <v>52</v>
      </c>
      <c r="B156" s="5" t="s">
        <v>51</v>
      </c>
      <c r="C156" s="5" t="s">
        <v>112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M156">
        <v>0</v>
      </c>
      <c r="N156">
        <v>0</v>
      </c>
      <c r="O156">
        <v>0</v>
      </c>
      <c r="Q156">
        <v>0</v>
      </c>
    </row>
    <row r="157" spans="1:17" x14ac:dyDescent="0.25">
      <c r="A157" s="5" t="s">
        <v>74</v>
      </c>
      <c r="B157" s="5" t="s">
        <v>75</v>
      </c>
      <c r="C157" s="5" t="s">
        <v>82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M157">
        <v>0</v>
      </c>
      <c r="N157">
        <v>0</v>
      </c>
      <c r="O157">
        <v>0</v>
      </c>
      <c r="Q157">
        <v>0</v>
      </c>
    </row>
    <row r="158" spans="1:17" x14ac:dyDescent="0.25">
      <c r="A158" s="5" t="s">
        <v>74</v>
      </c>
      <c r="B158" s="5" t="s">
        <v>75</v>
      </c>
      <c r="C158" s="5" t="s">
        <v>83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M158">
        <v>0</v>
      </c>
      <c r="N158">
        <v>0</v>
      </c>
      <c r="O158">
        <v>0</v>
      </c>
      <c r="Q158">
        <v>0</v>
      </c>
    </row>
    <row r="159" spans="1:17" x14ac:dyDescent="0.25">
      <c r="A159" s="5" t="s">
        <v>74</v>
      </c>
      <c r="B159" s="5" t="s">
        <v>75</v>
      </c>
      <c r="C159" s="5" t="s">
        <v>84</v>
      </c>
      <c r="D159">
        <v>5.81</v>
      </c>
      <c r="E159">
        <v>5.99</v>
      </c>
      <c r="F159">
        <v>388.08</v>
      </c>
      <c r="G159">
        <v>0</v>
      </c>
      <c r="H159">
        <v>388.08</v>
      </c>
      <c r="I159">
        <v>183.15</v>
      </c>
      <c r="J159">
        <v>0</v>
      </c>
      <c r="K159">
        <v>65</v>
      </c>
      <c r="L159">
        <v>103.1</v>
      </c>
      <c r="M159">
        <v>7.77</v>
      </c>
      <c r="N159">
        <v>5.81</v>
      </c>
      <c r="O159">
        <v>1.96</v>
      </c>
      <c r="P159">
        <v>74.77</v>
      </c>
      <c r="Q159">
        <v>0</v>
      </c>
    </row>
    <row r="160" spans="1:17" x14ac:dyDescent="0.25">
      <c r="A160" s="5" t="s">
        <v>74</v>
      </c>
      <c r="B160" s="5" t="s">
        <v>75</v>
      </c>
      <c r="C160" s="5" t="s">
        <v>85</v>
      </c>
      <c r="D160">
        <v>5.1100000000000003</v>
      </c>
      <c r="E160">
        <v>3.79</v>
      </c>
      <c r="F160">
        <v>245.38</v>
      </c>
      <c r="G160">
        <v>0</v>
      </c>
      <c r="H160">
        <v>245.38</v>
      </c>
      <c r="I160">
        <v>229.97</v>
      </c>
      <c r="J160">
        <v>0</v>
      </c>
      <c r="K160">
        <v>65</v>
      </c>
      <c r="L160">
        <v>74.17</v>
      </c>
      <c r="M160">
        <v>6.08</v>
      </c>
      <c r="N160">
        <v>5.1100000000000003</v>
      </c>
      <c r="O160">
        <v>0.97</v>
      </c>
      <c r="P160">
        <v>84.05</v>
      </c>
      <c r="Q160">
        <v>0</v>
      </c>
    </row>
    <row r="161" spans="1:17" x14ac:dyDescent="0.25">
      <c r="A161" s="5" t="s">
        <v>74</v>
      </c>
      <c r="B161" s="5" t="s">
        <v>75</v>
      </c>
      <c r="C161" s="5" t="s">
        <v>86</v>
      </c>
      <c r="D161">
        <v>1.96</v>
      </c>
      <c r="E161">
        <v>1.84</v>
      </c>
      <c r="F161">
        <v>105.05</v>
      </c>
      <c r="G161">
        <v>0</v>
      </c>
      <c r="H161">
        <v>105.05</v>
      </c>
      <c r="I161">
        <v>98.94</v>
      </c>
      <c r="J161">
        <v>0</v>
      </c>
      <c r="K161">
        <v>57</v>
      </c>
      <c r="L161">
        <v>93.88</v>
      </c>
      <c r="M161">
        <v>7.56</v>
      </c>
      <c r="N161">
        <v>6.7</v>
      </c>
      <c r="O161">
        <v>0.86</v>
      </c>
      <c r="P161">
        <v>88.62</v>
      </c>
      <c r="Q161">
        <v>0</v>
      </c>
    </row>
    <row r="162" spans="1:17" x14ac:dyDescent="0.25">
      <c r="A162" s="5" t="s">
        <v>74</v>
      </c>
      <c r="B162" s="5" t="s">
        <v>75</v>
      </c>
      <c r="C162" s="5" t="s">
        <v>87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M162">
        <v>0</v>
      </c>
      <c r="N162">
        <v>0</v>
      </c>
      <c r="O162">
        <v>0</v>
      </c>
      <c r="Q162">
        <v>0</v>
      </c>
    </row>
    <row r="163" spans="1:17" x14ac:dyDescent="0.25">
      <c r="A163" s="5" t="s">
        <v>74</v>
      </c>
      <c r="B163" s="5" t="s">
        <v>75</v>
      </c>
      <c r="C163" s="5" t="s">
        <v>88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M163">
        <v>0</v>
      </c>
      <c r="N163">
        <v>0</v>
      </c>
      <c r="O163">
        <v>0</v>
      </c>
      <c r="Q163">
        <v>0</v>
      </c>
    </row>
    <row r="164" spans="1:17" x14ac:dyDescent="0.25">
      <c r="A164" s="5" t="s">
        <v>74</v>
      </c>
      <c r="B164" s="5" t="s">
        <v>75</v>
      </c>
      <c r="C164" s="5" t="s">
        <v>89</v>
      </c>
      <c r="D164">
        <v>3.69</v>
      </c>
      <c r="E164">
        <v>3.44</v>
      </c>
      <c r="F164">
        <v>233.79</v>
      </c>
      <c r="G164">
        <v>0</v>
      </c>
      <c r="H164">
        <v>233.79</v>
      </c>
      <c r="I164">
        <v>185.76</v>
      </c>
      <c r="J164">
        <v>0</v>
      </c>
      <c r="K164">
        <v>68</v>
      </c>
      <c r="L164">
        <v>93.22</v>
      </c>
      <c r="M164">
        <v>7.46</v>
      </c>
      <c r="N164">
        <v>5.9</v>
      </c>
      <c r="O164">
        <v>1.56</v>
      </c>
      <c r="P164">
        <v>79.09</v>
      </c>
      <c r="Q164">
        <v>0</v>
      </c>
    </row>
    <row r="165" spans="1:17" x14ac:dyDescent="0.25">
      <c r="A165" s="5" t="s">
        <v>74</v>
      </c>
      <c r="B165" s="5" t="s">
        <v>75</v>
      </c>
      <c r="C165" s="5" t="s">
        <v>90</v>
      </c>
      <c r="D165">
        <v>13.01</v>
      </c>
      <c r="E165">
        <v>5.51</v>
      </c>
      <c r="F165">
        <v>344.88</v>
      </c>
      <c r="G165">
        <v>0</v>
      </c>
      <c r="H165">
        <v>344.88</v>
      </c>
      <c r="I165">
        <v>310.75</v>
      </c>
      <c r="J165">
        <v>0</v>
      </c>
      <c r="K165">
        <v>63</v>
      </c>
      <c r="L165">
        <v>42.35</v>
      </c>
      <c r="M165">
        <v>7.87</v>
      </c>
      <c r="N165">
        <v>7.25</v>
      </c>
      <c r="O165">
        <v>0.62</v>
      </c>
      <c r="P165">
        <v>92.12</v>
      </c>
      <c r="Q165">
        <v>0</v>
      </c>
    </row>
    <row r="166" spans="1:17" x14ac:dyDescent="0.25">
      <c r="A166" s="5" t="s">
        <v>74</v>
      </c>
      <c r="B166" s="5" t="s">
        <v>75</v>
      </c>
      <c r="C166" s="5" t="s">
        <v>91</v>
      </c>
      <c r="D166">
        <v>3.45</v>
      </c>
      <c r="E166">
        <v>2.23</v>
      </c>
      <c r="F166">
        <v>138.91999999999999</v>
      </c>
      <c r="G166">
        <v>0</v>
      </c>
      <c r="H166">
        <v>138.91999999999999</v>
      </c>
      <c r="I166">
        <v>153.99</v>
      </c>
      <c r="J166">
        <v>0</v>
      </c>
      <c r="K166">
        <v>62</v>
      </c>
      <c r="L166">
        <v>64.64</v>
      </c>
      <c r="M166">
        <v>7.33</v>
      </c>
      <c r="N166">
        <v>4.74</v>
      </c>
      <c r="O166">
        <v>2.59</v>
      </c>
      <c r="P166">
        <v>64.67</v>
      </c>
      <c r="Q166">
        <v>0</v>
      </c>
    </row>
    <row r="167" spans="1:17" x14ac:dyDescent="0.25">
      <c r="A167" s="5" t="s">
        <v>74</v>
      </c>
      <c r="B167" s="5" t="s">
        <v>75</v>
      </c>
      <c r="C167" s="5" t="s">
        <v>92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M167">
        <v>0</v>
      </c>
      <c r="N167">
        <v>0</v>
      </c>
      <c r="O167">
        <v>0</v>
      </c>
      <c r="Q167">
        <v>0</v>
      </c>
    </row>
    <row r="168" spans="1:17" x14ac:dyDescent="0.25">
      <c r="A168" s="5" t="s">
        <v>74</v>
      </c>
      <c r="B168" s="5" t="s">
        <v>75</v>
      </c>
      <c r="C168" s="5" t="s">
        <v>93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M168">
        <v>0</v>
      </c>
      <c r="N168">
        <v>0</v>
      </c>
      <c r="O168">
        <v>0</v>
      </c>
      <c r="Q168">
        <v>0</v>
      </c>
    </row>
    <row r="169" spans="1:17" x14ac:dyDescent="0.25">
      <c r="A169" s="5" t="s">
        <v>74</v>
      </c>
      <c r="B169" s="5" t="s">
        <v>75</v>
      </c>
      <c r="C169" s="5" t="s">
        <v>94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M169">
        <v>0</v>
      </c>
      <c r="N169">
        <v>0</v>
      </c>
      <c r="O169">
        <v>0</v>
      </c>
      <c r="Q169">
        <v>0</v>
      </c>
    </row>
    <row r="170" spans="1:17" x14ac:dyDescent="0.25">
      <c r="A170" s="5" t="s">
        <v>74</v>
      </c>
      <c r="B170" s="5" t="s">
        <v>75</v>
      </c>
      <c r="C170" s="5" t="s">
        <v>95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M170">
        <v>0</v>
      </c>
      <c r="N170">
        <v>0</v>
      </c>
      <c r="O170">
        <v>0</v>
      </c>
      <c r="Q170">
        <v>0</v>
      </c>
    </row>
    <row r="171" spans="1:17" x14ac:dyDescent="0.25">
      <c r="A171" s="5" t="s">
        <v>74</v>
      </c>
      <c r="B171" s="5" t="s">
        <v>75</v>
      </c>
      <c r="C171" s="5" t="s">
        <v>96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M171">
        <v>0</v>
      </c>
      <c r="N171">
        <v>0</v>
      </c>
      <c r="O171">
        <v>0</v>
      </c>
      <c r="Q171">
        <v>0</v>
      </c>
    </row>
    <row r="172" spans="1:17" x14ac:dyDescent="0.25">
      <c r="A172" s="5" t="s">
        <v>74</v>
      </c>
      <c r="B172" s="5" t="s">
        <v>75</v>
      </c>
      <c r="C172" s="5" t="s">
        <v>97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M172">
        <v>0</v>
      </c>
      <c r="N172">
        <v>0</v>
      </c>
      <c r="O172">
        <v>0</v>
      </c>
      <c r="Q172">
        <v>0</v>
      </c>
    </row>
    <row r="173" spans="1:17" x14ac:dyDescent="0.25">
      <c r="A173" s="5" t="s">
        <v>74</v>
      </c>
      <c r="B173" s="5" t="s">
        <v>75</v>
      </c>
      <c r="C173" s="5" t="s">
        <v>98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M173">
        <v>0</v>
      </c>
      <c r="N173">
        <v>0</v>
      </c>
      <c r="O173">
        <v>0</v>
      </c>
      <c r="Q173">
        <v>0</v>
      </c>
    </row>
    <row r="174" spans="1:17" x14ac:dyDescent="0.25">
      <c r="A174" s="5" t="s">
        <v>74</v>
      </c>
      <c r="B174" s="5" t="s">
        <v>75</v>
      </c>
      <c r="C174" s="5" t="s">
        <v>99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M174">
        <v>0</v>
      </c>
      <c r="N174">
        <v>0</v>
      </c>
      <c r="O174">
        <v>0</v>
      </c>
      <c r="Q174">
        <v>0</v>
      </c>
    </row>
    <row r="175" spans="1:17" x14ac:dyDescent="0.25">
      <c r="A175" s="5" t="s">
        <v>74</v>
      </c>
      <c r="B175" s="5" t="s">
        <v>75</v>
      </c>
      <c r="C175" s="5" t="s">
        <v>100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M175">
        <v>0</v>
      </c>
      <c r="N175">
        <v>0</v>
      </c>
      <c r="O175">
        <v>0</v>
      </c>
      <c r="Q175">
        <v>0</v>
      </c>
    </row>
    <row r="176" spans="1:17" x14ac:dyDescent="0.25">
      <c r="A176" s="5" t="s">
        <v>74</v>
      </c>
      <c r="B176" s="5" t="s">
        <v>75</v>
      </c>
      <c r="C176" s="5" t="s">
        <v>101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M176">
        <v>0</v>
      </c>
      <c r="N176">
        <v>0</v>
      </c>
      <c r="O176">
        <v>0</v>
      </c>
      <c r="Q176">
        <v>0</v>
      </c>
    </row>
    <row r="177" spans="1:17" x14ac:dyDescent="0.25">
      <c r="A177" s="5" t="s">
        <v>74</v>
      </c>
      <c r="B177" s="5" t="s">
        <v>75</v>
      </c>
      <c r="C177" s="5" t="s">
        <v>102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M177">
        <v>0</v>
      </c>
      <c r="N177">
        <v>0</v>
      </c>
      <c r="O177">
        <v>0</v>
      </c>
      <c r="Q177">
        <v>0</v>
      </c>
    </row>
    <row r="178" spans="1:17" x14ac:dyDescent="0.25">
      <c r="A178" s="5" t="s">
        <v>74</v>
      </c>
      <c r="B178" s="5" t="s">
        <v>75</v>
      </c>
      <c r="C178" s="5" t="s">
        <v>103</v>
      </c>
      <c r="D178">
        <v>1.29</v>
      </c>
      <c r="E178">
        <v>0.37</v>
      </c>
      <c r="F178">
        <v>22.08</v>
      </c>
      <c r="G178">
        <v>0</v>
      </c>
      <c r="H178">
        <v>22.08</v>
      </c>
      <c r="I178">
        <v>14.63</v>
      </c>
      <c r="J178">
        <v>0</v>
      </c>
      <c r="K178">
        <v>60</v>
      </c>
      <c r="L178">
        <v>28.68</v>
      </c>
      <c r="M178">
        <v>0</v>
      </c>
      <c r="N178">
        <v>0</v>
      </c>
      <c r="O178">
        <v>0</v>
      </c>
      <c r="Q178">
        <v>0</v>
      </c>
    </row>
    <row r="179" spans="1:17" x14ac:dyDescent="0.25">
      <c r="A179" s="5" t="s">
        <v>74</v>
      </c>
      <c r="B179" s="5" t="s">
        <v>75</v>
      </c>
      <c r="C179" s="5" t="s">
        <v>104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M179">
        <v>0</v>
      </c>
      <c r="N179">
        <v>0</v>
      </c>
      <c r="O179">
        <v>0</v>
      </c>
      <c r="Q179">
        <v>0</v>
      </c>
    </row>
    <row r="180" spans="1:17" x14ac:dyDescent="0.25">
      <c r="A180" s="5" t="s">
        <v>74</v>
      </c>
      <c r="B180" s="5" t="s">
        <v>75</v>
      </c>
      <c r="C180" s="5" t="s">
        <v>105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M180">
        <v>0</v>
      </c>
      <c r="N180">
        <v>0</v>
      </c>
      <c r="O180">
        <v>0</v>
      </c>
      <c r="Q180">
        <v>0</v>
      </c>
    </row>
    <row r="181" spans="1:17" x14ac:dyDescent="0.25">
      <c r="A181" s="5" t="s">
        <v>74</v>
      </c>
      <c r="B181" s="5" t="s">
        <v>75</v>
      </c>
      <c r="C181" s="5" t="s">
        <v>106</v>
      </c>
      <c r="D181">
        <v>0</v>
      </c>
      <c r="E181">
        <v>0.12</v>
      </c>
      <c r="F181">
        <v>10</v>
      </c>
      <c r="G181">
        <v>0</v>
      </c>
      <c r="H181">
        <v>10</v>
      </c>
      <c r="I181">
        <v>8.11</v>
      </c>
      <c r="J181">
        <v>0</v>
      </c>
      <c r="K181">
        <v>83</v>
      </c>
      <c r="M181">
        <v>0.87</v>
      </c>
      <c r="N181">
        <v>0</v>
      </c>
      <c r="O181">
        <v>0.87</v>
      </c>
      <c r="P181">
        <v>0</v>
      </c>
      <c r="Q181">
        <v>0</v>
      </c>
    </row>
    <row r="182" spans="1:17" x14ac:dyDescent="0.25">
      <c r="A182" s="5" t="s">
        <v>74</v>
      </c>
      <c r="B182" s="5" t="s">
        <v>75</v>
      </c>
      <c r="C182" s="5" t="s">
        <v>107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M182">
        <v>0</v>
      </c>
      <c r="N182">
        <v>0</v>
      </c>
      <c r="O182">
        <v>0</v>
      </c>
      <c r="Q182">
        <v>0</v>
      </c>
    </row>
    <row r="183" spans="1:17" x14ac:dyDescent="0.25">
      <c r="A183" s="5" t="s">
        <v>74</v>
      </c>
      <c r="B183" s="5" t="s">
        <v>75</v>
      </c>
      <c r="C183" s="5" t="s">
        <v>108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M183">
        <v>0</v>
      </c>
      <c r="N183">
        <v>0</v>
      </c>
      <c r="O183">
        <v>0</v>
      </c>
      <c r="Q183">
        <v>0</v>
      </c>
    </row>
    <row r="184" spans="1:17" x14ac:dyDescent="0.25">
      <c r="A184" s="5" t="s">
        <v>74</v>
      </c>
      <c r="B184" s="5" t="s">
        <v>75</v>
      </c>
      <c r="C184" s="5" t="s">
        <v>109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M184">
        <v>0</v>
      </c>
      <c r="N184">
        <v>0</v>
      </c>
      <c r="O184">
        <v>0</v>
      </c>
      <c r="Q184">
        <v>0</v>
      </c>
    </row>
    <row r="185" spans="1:17" x14ac:dyDescent="0.25">
      <c r="A185" s="5" t="s">
        <v>74</v>
      </c>
      <c r="B185" s="5" t="s">
        <v>75</v>
      </c>
      <c r="C185" s="5" t="s">
        <v>110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M185">
        <v>0</v>
      </c>
      <c r="N185">
        <v>0</v>
      </c>
      <c r="O185">
        <v>0</v>
      </c>
      <c r="Q185">
        <v>0</v>
      </c>
    </row>
    <row r="186" spans="1:17" x14ac:dyDescent="0.25">
      <c r="A186" s="5" t="s">
        <v>74</v>
      </c>
      <c r="B186" s="5" t="s">
        <v>75</v>
      </c>
      <c r="C186" s="5" t="s">
        <v>111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M186">
        <v>0</v>
      </c>
      <c r="N186">
        <v>0</v>
      </c>
      <c r="O186">
        <v>0</v>
      </c>
      <c r="Q186">
        <v>0</v>
      </c>
    </row>
    <row r="187" spans="1:17" x14ac:dyDescent="0.25">
      <c r="A187" s="5" t="s">
        <v>74</v>
      </c>
      <c r="B187" s="5" t="s">
        <v>75</v>
      </c>
      <c r="C187" s="5" t="s">
        <v>112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M187">
        <v>0</v>
      </c>
      <c r="N187">
        <v>0</v>
      </c>
      <c r="O187">
        <v>0</v>
      </c>
      <c r="Q187">
        <v>0</v>
      </c>
    </row>
    <row r="188" spans="1:17" x14ac:dyDescent="0.25">
      <c r="A188" s="5" t="s">
        <v>78</v>
      </c>
      <c r="B188" s="5" t="s">
        <v>77</v>
      </c>
      <c r="C188" s="5" t="s">
        <v>82</v>
      </c>
      <c r="D188">
        <v>9.2200000000000006</v>
      </c>
      <c r="E188">
        <v>2.9</v>
      </c>
      <c r="F188">
        <v>151.21</v>
      </c>
      <c r="G188">
        <v>0</v>
      </c>
      <c r="H188">
        <v>151.21</v>
      </c>
      <c r="I188">
        <v>272.2</v>
      </c>
      <c r="J188">
        <v>0</v>
      </c>
      <c r="K188">
        <v>52</v>
      </c>
      <c r="L188">
        <v>31.45</v>
      </c>
      <c r="M188">
        <v>7.71</v>
      </c>
      <c r="N188">
        <v>6.16</v>
      </c>
      <c r="O188">
        <v>1.55</v>
      </c>
      <c r="P188">
        <v>79.900000000000006</v>
      </c>
      <c r="Q188">
        <v>0</v>
      </c>
    </row>
    <row r="189" spans="1:17" x14ac:dyDescent="0.25">
      <c r="A189" s="5" t="s">
        <v>78</v>
      </c>
      <c r="B189" s="5" t="s">
        <v>77</v>
      </c>
      <c r="C189" s="5" t="s">
        <v>83</v>
      </c>
      <c r="D189">
        <v>10.220000000000001</v>
      </c>
      <c r="E189">
        <v>7.44</v>
      </c>
      <c r="F189">
        <v>427.03</v>
      </c>
      <c r="G189">
        <v>0</v>
      </c>
      <c r="H189">
        <v>427.03</v>
      </c>
      <c r="I189">
        <v>270.44</v>
      </c>
      <c r="J189">
        <v>0</v>
      </c>
      <c r="K189">
        <v>57</v>
      </c>
      <c r="L189">
        <v>72.8</v>
      </c>
      <c r="M189">
        <v>7.61</v>
      </c>
      <c r="N189">
        <v>7.29</v>
      </c>
      <c r="O189">
        <v>0.32</v>
      </c>
      <c r="P189">
        <v>95.8</v>
      </c>
      <c r="Q189">
        <v>0</v>
      </c>
    </row>
    <row r="190" spans="1:17" x14ac:dyDescent="0.25">
      <c r="A190" s="5" t="s">
        <v>78</v>
      </c>
      <c r="B190" s="5" t="s">
        <v>77</v>
      </c>
      <c r="C190" s="5" t="s">
        <v>84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M190">
        <v>0</v>
      </c>
      <c r="N190">
        <v>0</v>
      </c>
      <c r="O190">
        <v>0</v>
      </c>
      <c r="Q190">
        <v>0</v>
      </c>
    </row>
    <row r="191" spans="1:17" x14ac:dyDescent="0.25">
      <c r="A191" s="5" t="s">
        <v>78</v>
      </c>
      <c r="B191" s="5" t="s">
        <v>77</v>
      </c>
      <c r="C191" s="5" t="s">
        <v>85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M191">
        <v>0</v>
      </c>
      <c r="N191">
        <v>0</v>
      </c>
      <c r="O191">
        <v>0</v>
      </c>
      <c r="Q191">
        <v>0</v>
      </c>
    </row>
    <row r="192" spans="1:17" x14ac:dyDescent="0.25">
      <c r="A192" s="5" t="s">
        <v>78</v>
      </c>
      <c r="B192" s="5" t="s">
        <v>77</v>
      </c>
      <c r="C192" s="5" t="s">
        <v>86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M192">
        <v>0</v>
      </c>
      <c r="N192">
        <v>0</v>
      </c>
      <c r="O192">
        <v>0</v>
      </c>
      <c r="Q192">
        <v>0</v>
      </c>
    </row>
    <row r="193" spans="1:17" x14ac:dyDescent="0.25">
      <c r="A193" s="5" t="s">
        <v>78</v>
      </c>
      <c r="B193" s="5" t="s">
        <v>77</v>
      </c>
      <c r="C193" s="5" t="s">
        <v>87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M193">
        <v>0</v>
      </c>
      <c r="N193">
        <v>0</v>
      </c>
      <c r="O193">
        <v>0</v>
      </c>
      <c r="Q193">
        <v>0</v>
      </c>
    </row>
    <row r="194" spans="1:17" x14ac:dyDescent="0.25">
      <c r="A194" s="5" t="s">
        <v>78</v>
      </c>
      <c r="B194" s="5" t="s">
        <v>77</v>
      </c>
      <c r="C194" s="5" t="s">
        <v>88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M194">
        <v>0</v>
      </c>
      <c r="N194">
        <v>0</v>
      </c>
      <c r="O194">
        <v>0</v>
      </c>
      <c r="Q194">
        <v>0</v>
      </c>
    </row>
    <row r="195" spans="1:17" x14ac:dyDescent="0.25">
      <c r="A195" s="5" t="s">
        <v>78</v>
      </c>
      <c r="B195" s="5" t="s">
        <v>77</v>
      </c>
      <c r="C195" s="5" t="s">
        <v>89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M195">
        <v>0</v>
      </c>
      <c r="N195">
        <v>0</v>
      </c>
      <c r="O195">
        <v>0</v>
      </c>
      <c r="Q195">
        <v>0</v>
      </c>
    </row>
    <row r="196" spans="1:17" x14ac:dyDescent="0.25">
      <c r="A196" s="5" t="s">
        <v>78</v>
      </c>
      <c r="B196" s="5" t="s">
        <v>77</v>
      </c>
      <c r="C196" s="5" t="s">
        <v>90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M196">
        <v>0</v>
      </c>
      <c r="N196">
        <v>0</v>
      </c>
      <c r="O196">
        <v>0</v>
      </c>
      <c r="Q196">
        <v>0</v>
      </c>
    </row>
    <row r="197" spans="1:17" x14ac:dyDescent="0.25">
      <c r="A197" s="5" t="s">
        <v>78</v>
      </c>
      <c r="B197" s="5" t="s">
        <v>77</v>
      </c>
      <c r="C197" s="5" t="s">
        <v>91</v>
      </c>
      <c r="D197">
        <v>1.02</v>
      </c>
      <c r="E197">
        <v>0.78</v>
      </c>
      <c r="F197">
        <v>50.1</v>
      </c>
      <c r="G197">
        <v>0</v>
      </c>
      <c r="H197">
        <v>50.1</v>
      </c>
      <c r="I197">
        <v>43.92</v>
      </c>
      <c r="J197">
        <v>0</v>
      </c>
      <c r="K197">
        <v>64</v>
      </c>
      <c r="L197">
        <v>76.47</v>
      </c>
      <c r="M197">
        <v>0</v>
      </c>
      <c r="N197">
        <v>0</v>
      </c>
      <c r="O197">
        <v>0</v>
      </c>
      <c r="Q197">
        <v>0</v>
      </c>
    </row>
    <row r="198" spans="1:17" x14ac:dyDescent="0.25">
      <c r="A198" s="5" t="s">
        <v>78</v>
      </c>
      <c r="B198" s="5" t="s">
        <v>77</v>
      </c>
      <c r="C198" s="5" t="s">
        <v>92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M198">
        <v>0</v>
      </c>
      <c r="N198">
        <v>0</v>
      </c>
      <c r="O198">
        <v>0</v>
      </c>
      <c r="Q198">
        <v>0</v>
      </c>
    </row>
    <row r="199" spans="1:17" x14ac:dyDescent="0.25">
      <c r="A199" s="5" t="s">
        <v>78</v>
      </c>
      <c r="B199" s="5" t="s">
        <v>77</v>
      </c>
      <c r="C199" s="5" t="s">
        <v>93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M199">
        <v>0</v>
      </c>
      <c r="N199">
        <v>0</v>
      </c>
      <c r="O199">
        <v>0</v>
      </c>
      <c r="Q199">
        <v>0</v>
      </c>
    </row>
    <row r="200" spans="1:17" x14ac:dyDescent="0.25">
      <c r="A200" s="5" t="s">
        <v>78</v>
      </c>
      <c r="B200" s="5" t="s">
        <v>77</v>
      </c>
      <c r="C200" s="5" t="s">
        <v>94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M200">
        <v>0</v>
      </c>
      <c r="N200">
        <v>0</v>
      </c>
      <c r="O200">
        <v>0</v>
      </c>
      <c r="Q200">
        <v>0</v>
      </c>
    </row>
    <row r="201" spans="1:17" x14ac:dyDescent="0.25">
      <c r="A201" s="5" t="s">
        <v>78</v>
      </c>
      <c r="B201" s="5" t="s">
        <v>77</v>
      </c>
      <c r="C201" s="5" t="s">
        <v>95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M201">
        <v>0</v>
      </c>
      <c r="N201">
        <v>0</v>
      </c>
      <c r="O201">
        <v>0</v>
      </c>
      <c r="Q201">
        <v>0</v>
      </c>
    </row>
    <row r="202" spans="1:17" x14ac:dyDescent="0.25">
      <c r="A202" s="5" t="s">
        <v>78</v>
      </c>
      <c r="B202" s="5" t="s">
        <v>77</v>
      </c>
      <c r="C202" s="5" t="s">
        <v>96</v>
      </c>
      <c r="D202">
        <v>4.4000000000000004</v>
      </c>
      <c r="E202">
        <v>2.83</v>
      </c>
      <c r="F202">
        <v>240.22</v>
      </c>
      <c r="G202">
        <v>0</v>
      </c>
      <c r="H202">
        <v>240.22</v>
      </c>
      <c r="I202">
        <v>511.53</v>
      </c>
      <c r="J202">
        <v>0</v>
      </c>
      <c r="K202">
        <v>85</v>
      </c>
      <c r="L202">
        <v>64.319999999999993</v>
      </c>
      <c r="M202">
        <v>7.6</v>
      </c>
      <c r="N202">
        <v>6.85</v>
      </c>
      <c r="O202">
        <v>0.75</v>
      </c>
      <c r="P202">
        <v>90.13</v>
      </c>
      <c r="Q202">
        <v>0</v>
      </c>
    </row>
    <row r="203" spans="1:17" x14ac:dyDescent="0.25">
      <c r="A203" s="5" t="s">
        <v>78</v>
      </c>
      <c r="B203" s="5" t="s">
        <v>77</v>
      </c>
      <c r="C203" s="5" t="s">
        <v>97</v>
      </c>
      <c r="D203">
        <v>4.8499999999999996</v>
      </c>
      <c r="E203">
        <v>2.89</v>
      </c>
      <c r="F203">
        <v>201.12</v>
      </c>
      <c r="G203">
        <v>0</v>
      </c>
      <c r="H203">
        <v>201.12</v>
      </c>
      <c r="I203">
        <v>577.41</v>
      </c>
      <c r="J203">
        <v>0</v>
      </c>
      <c r="K203">
        <v>70</v>
      </c>
      <c r="L203">
        <v>59.59</v>
      </c>
      <c r="M203">
        <v>6.76</v>
      </c>
      <c r="N203">
        <v>5.54</v>
      </c>
      <c r="O203">
        <v>1.22</v>
      </c>
      <c r="P203">
        <v>81.95</v>
      </c>
      <c r="Q203">
        <v>0</v>
      </c>
    </row>
    <row r="204" spans="1:17" x14ac:dyDescent="0.25">
      <c r="A204" s="5" t="s">
        <v>78</v>
      </c>
      <c r="B204" s="5" t="s">
        <v>77</v>
      </c>
      <c r="C204" s="5" t="s">
        <v>98</v>
      </c>
      <c r="D204">
        <v>0.7</v>
      </c>
      <c r="E204">
        <v>0.8</v>
      </c>
      <c r="F204">
        <v>42.5</v>
      </c>
      <c r="G204">
        <v>0</v>
      </c>
      <c r="H204">
        <v>42.5</v>
      </c>
      <c r="I204">
        <v>0</v>
      </c>
      <c r="J204">
        <v>6.67</v>
      </c>
      <c r="K204">
        <v>53</v>
      </c>
      <c r="L204">
        <v>114.29</v>
      </c>
      <c r="M204">
        <v>0</v>
      </c>
      <c r="N204">
        <v>0</v>
      </c>
      <c r="O204">
        <v>0</v>
      </c>
      <c r="Q204">
        <v>0</v>
      </c>
    </row>
    <row r="205" spans="1:17" x14ac:dyDescent="0.25">
      <c r="A205" s="5" t="s">
        <v>78</v>
      </c>
      <c r="B205" s="5" t="s">
        <v>77</v>
      </c>
      <c r="C205" s="5" t="s">
        <v>99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M205">
        <v>0</v>
      </c>
      <c r="N205">
        <v>0</v>
      </c>
      <c r="O205">
        <v>0</v>
      </c>
      <c r="Q205">
        <v>0</v>
      </c>
    </row>
    <row r="206" spans="1:17" x14ac:dyDescent="0.25">
      <c r="A206" s="5" t="s">
        <v>78</v>
      </c>
      <c r="B206" s="5" t="s">
        <v>77</v>
      </c>
      <c r="C206" s="5" t="s">
        <v>100</v>
      </c>
      <c r="D206">
        <v>8.1999999999999993</v>
      </c>
      <c r="E206">
        <v>3.85</v>
      </c>
      <c r="F206">
        <v>269.2</v>
      </c>
      <c r="G206">
        <v>0</v>
      </c>
      <c r="H206">
        <v>269.2</v>
      </c>
      <c r="I206">
        <v>364.96</v>
      </c>
      <c r="J206">
        <v>-1.1599999999999999</v>
      </c>
      <c r="K206">
        <v>70</v>
      </c>
      <c r="L206">
        <v>46.95</v>
      </c>
      <c r="M206">
        <v>7.76</v>
      </c>
      <c r="N206">
        <v>7.36</v>
      </c>
      <c r="O206">
        <v>0.4</v>
      </c>
      <c r="P206">
        <v>94.85</v>
      </c>
      <c r="Q206">
        <v>0</v>
      </c>
    </row>
    <row r="207" spans="1:17" x14ac:dyDescent="0.25">
      <c r="A207" s="5" t="s">
        <v>78</v>
      </c>
      <c r="B207" s="5" t="s">
        <v>77</v>
      </c>
      <c r="C207" s="5" t="s">
        <v>101</v>
      </c>
      <c r="D207">
        <v>2.29</v>
      </c>
      <c r="E207">
        <v>1.78</v>
      </c>
      <c r="F207">
        <v>75.849999999999994</v>
      </c>
      <c r="G207">
        <v>0</v>
      </c>
      <c r="H207">
        <v>75.849999999999994</v>
      </c>
      <c r="I207">
        <v>79.56</v>
      </c>
      <c r="J207">
        <v>0</v>
      </c>
      <c r="K207">
        <v>43</v>
      </c>
      <c r="L207">
        <v>77.73</v>
      </c>
      <c r="M207">
        <v>3.85</v>
      </c>
      <c r="N207">
        <v>3.51</v>
      </c>
      <c r="O207">
        <v>0.34</v>
      </c>
      <c r="P207">
        <v>91.17</v>
      </c>
      <c r="Q207">
        <v>0</v>
      </c>
    </row>
    <row r="208" spans="1:17" x14ac:dyDescent="0.25">
      <c r="A208" s="5" t="s">
        <v>78</v>
      </c>
      <c r="B208" s="5" t="s">
        <v>77</v>
      </c>
      <c r="C208" s="5" t="s">
        <v>102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M208">
        <v>0</v>
      </c>
      <c r="N208">
        <v>0</v>
      </c>
      <c r="O208">
        <v>0</v>
      </c>
      <c r="Q208">
        <v>0</v>
      </c>
    </row>
    <row r="209" spans="1:17" x14ac:dyDescent="0.25">
      <c r="A209" s="5" t="s">
        <v>78</v>
      </c>
      <c r="B209" s="5" t="s">
        <v>77</v>
      </c>
      <c r="C209" s="5" t="s">
        <v>103</v>
      </c>
      <c r="D209">
        <v>9.4700000000000006</v>
      </c>
      <c r="E209">
        <v>8.1199999999999992</v>
      </c>
      <c r="F209">
        <v>485.21</v>
      </c>
      <c r="G209">
        <v>0</v>
      </c>
      <c r="H209">
        <v>485.21</v>
      </c>
      <c r="I209">
        <v>273.8</v>
      </c>
      <c r="J209">
        <v>0</v>
      </c>
      <c r="K209">
        <v>60</v>
      </c>
      <c r="L209">
        <v>85.74</v>
      </c>
      <c r="M209">
        <v>7.56</v>
      </c>
      <c r="N209">
        <v>6.83</v>
      </c>
      <c r="O209">
        <v>0.73</v>
      </c>
      <c r="P209">
        <v>90.34</v>
      </c>
      <c r="Q209">
        <v>0</v>
      </c>
    </row>
    <row r="210" spans="1:17" x14ac:dyDescent="0.25">
      <c r="A210" s="5" t="s">
        <v>78</v>
      </c>
      <c r="B210" s="5" t="s">
        <v>77</v>
      </c>
      <c r="C210" s="5" t="s">
        <v>104</v>
      </c>
      <c r="D210">
        <v>7.08</v>
      </c>
      <c r="E210">
        <v>7.45</v>
      </c>
      <c r="F210">
        <v>440.49</v>
      </c>
      <c r="G210">
        <v>0</v>
      </c>
      <c r="H210">
        <v>440.49</v>
      </c>
      <c r="I210">
        <v>221.82</v>
      </c>
      <c r="J210">
        <v>1.33</v>
      </c>
      <c r="K210">
        <v>59</v>
      </c>
      <c r="L210">
        <v>105.23</v>
      </c>
      <c r="M210">
        <v>7.54</v>
      </c>
      <c r="N210">
        <v>7.08</v>
      </c>
      <c r="O210">
        <v>0.46</v>
      </c>
      <c r="P210">
        <v>93.9</v>
      </c>
      <c r="Q210">
        <v>0</v>
      </c>
    </row>
    <row r="211" spans="1:17" x14ac:dyDescent="0.25">
      <c r="A211" s="5" t="s">
        <v>78</v>
      </c>
      <c r="B211" s="5" t="s">
        <v>77</v>
      </c>
      <c r="C211" s="5" t="s">
        <v>105</v>
      </c>
      <c r="D211">
        <v>5.85</v>
      </c>
      <c r="E211">
        <v>3.9</v>
      </c>
      <c r="F211">
        <v>256.64999999999998</v>
      </c>
      <c r="G211">
        <v>0</v>
      </c>
      <c r="H211">
        <v>256.64999999999998</v>
      </c>
      <c r="I211">
        <v>115.54</v>
      </c>
      <c r="J211">
        <v>0</v>
      </c>
      <c r="K211">
        <v>66</v>
      </c>
      <c r="L211">
        <v>66.67</v>
      </c>
      <c r="M211">
        <v>7.61</v>
      </c>
      <c r="N211">
        <v>6.9</v>
      </c>
      <c r="O211">
        <v>0.71</v>
      </c>
      <c r="P211">
        <v>90.67</v>
      </c>
      <c r="Q211">
        <v>0</v>
      </c>
    </row>
    <row r="212" spans="1:17" x14ac:dyDescent="0.25">
      <c r="A212" s="5" t="s">
        <v>78</v>
      </c>
      <c r="B212" s="5" t="s">
        <v>77</v>
      </c>
      <c r="C212" s="5" t="s">
        <v>106</v>
      </c>
      <c r="D212">
        <v>9.92</v>
      </c>
      <c r="E212">
        <v>5.59</v>
      </c>
      <c r="F212">
        <v>334.81</v>
      </c>
      <c r="G212">
        <v>0</v>
      </c>
      <c r="H212">
        <v>334.81</v>
      </c>
      <c r="I212">
        <v>296.61</v>
      </c>
      <c r="J212">
        <v>0</v>
      </c>
      <c r="K212">
        <v>60</v>
      </c>
      <c r="L212">
        <v>56.35</v>
      </c>
      <c r="M212">
        <v>7.57</v>
      </c>
      <c r="N212">
        <v>6.67</v>
      </c>
      <c r="O212">
        <v>0.9</v>
      </c>
      <c r="P212">
        <v>88.11</v>
      </c>
      <c r="Q212">
        <v>0</v>
      </c>
    </row>
    <row r="213" spans="1:17" x14ac:dyDescent="0.25">
      <c r="A213" s="5" t="s">
        <v>78</v>
      </c>
      <c r="B213" s="5" t="s">
        <v>77</v>
      </c>
      <c r="C213" s="5" t="s">
        <v>107</v>
      </c>
      <c r="D213">
        <v>6.14</v>
      </c>
      <c r="E213">
        <v>4.79</v>
      </c>
      <c r="F213">
        <v>338.67</v>
      </c>
      <c r="G213">
        <v>0</v>
      </c>
      <c r="H213">
        <v>338.67</v>
      </c>
      <c r="I213">
        <v>194.71</v>
      </c>
      <c r="J213">
        <v>-34.14</v>
      </c>
      <c r="K213">
        <v>71</v>
      </c>
      <c r="L213">
        <v>78.010000000000005</v>
      </c>
      <c r="M213">
        <v>7.62</v>
      </c>
      <c r="N213">
        <v>6.97</v>
      </c>
      <c r="O213">
        <v>0.65</v>
      </c>
      <c r="P213">
        <v>91.47</v>
      </c>
      <c r="Q213">
        <v>0</v>
      </c>
    </row>
    <row r="214" spans="1:17" x14ac:dyDescent="0.25">
      <c r="A214" s="5" t="s">
        <v>78</v>
      </c>
      <c r="B214" s="5" t="s">
        <v>77</v>
      </c>
      <c r="C214" s="5" t="s">
        <v>108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M214">
        <v>0</v>
      </c>
      <c r="N214">
        <v>0</v>
      </c>
      <c r="O214">
        <v>0</v>
      </c>
      <c r="Q214">
        <v>0</v>
      </c>
    </row>
    <row r="215" spans="1:17" x14ac:dyDescent="0.25">
      <c r="A215" s="5" t="s">
        <v>78</v>
      </c>
      <c r="B215" s="5" t="s">
        <v>77</v>
      </c>
      <c r="C215" s="5" t="s">
        <v>109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M215">
        <v>0</v>
      </c>
      <c r="N215">
        <v>0</v>
      </c>
      <c r="O215">
        <v>0</v>
      </c>
      <c r="Q215">
        <v>0</v>
      </c>
    </row>
    <row r="216" spans="1:17" x14ac:dyDescent="0.25">
      <c r="A216" s="5" t="s">
        <v>78</v>
      </c>
      <c r="B216" s="5" t="s">
        <v>77</v>
      </c>
      <c r="C216" s="5" t="s">
        <v>110</v>
      </c>
      <c r="D216">
        <v>2.31</v>
      </c>
      <c r="E216">
        <v>1.06</v>
      </c>
      <c r="F216">
        <v>65</v>
      </c>
      <c r="G216">
        <v>0</v>
      </c>
      <c r="H216">
        <v>65</v>
      </c>
      <c r="I216">
        <v>82.5</v>
      </c>
      <c r="J216">
        <v>0</v>
      </c>
      <c r="K216">
        <v>61</v>
      </c>
      <c r="L216">
        <v>45.89</v>
      </c>
      <c r="M216">
        <v>7.79</v>
      </c>
      <c r="N216">
        <v>6.14</v>
      </c>
      <c r="O216">
        <v>1.65</v>
      </c>
      <c r="P216">
        <v>78.819999999999993</v>
      </c>
      <c r="Q216">
        <v>0</v>
      </c>
    </row>
    <row r="217" spans="1:17" x14ac:dyDescent="0.25">
      <c r="A217" s="5" t="s">
        <v>78</v>
      </c>
      <c r="B217" s="5" t="s">
        <v>77</v>
      </c>
      <c r="C217" s="5" t="s">
        <v>111</v>
      </c>
      <c r="D217">
        <v>9.57</v>
      </c>
      <c r="E217">
        <v>5.9</v>
      </c>
      <c r="F217">
        <v>376.56</v>
      </c>
      <c r="G217">
        <v>0</v>
      </c>
      <c r="H217">
        <v>376.56</v>
      </c>
      <c r="I217">
        <v>434.86</v>
      </c>
      <c r="J217">
        <v>0</v>
      </c>
      <c r="K217">
        <v>64</v>
      </c>
      <c r="L217">
        <v>61.65</v>
      </c>
      <c r="M217">
        <v>7.56</v>
      </c>
      <c r="N217">
        <v>6.95</v>
      </c>
      <c r="O217">
        <v>0.61</v>
      </c>
      <c r="P217">
        <v>91.93</v>
      </c>
      <c r="Q217">
        <v>0</v>
      </c>
    </row>
    <row r="218" spans="1:17" x14ac:dyDescent="0.25">
      <c r="A218" s="5" t="s">
        <v>78</v>
      </c>
      <c r="B218" s="5" t="s">
        <v>77</v>
      </c>
      <c r="C218" s="5" t="s">
        <v>112</v>
      </c>
      <c r="D218">
        <v>11.03</v>
      </c>
      <c r="E218">
        <v>5.08</v>
      </c>
      <c r="F218">
        <v>406.05</v>
      </c>
      <c r="G218">
        <v>0</v>
      </c>
      <c r="H218">
        <v>406.05</v>
      </c>
      <c r="I218">
        <v>398.92</v>
      </c>
      <c r="J218">
        <v>-8.4700000000000006</v>
      </c>
      <c r="K218">
        <v>80</v>
      </c>
      <c r="L218">
        <v>46.06</v>
      </c>
      <c r="M218">
        <v>7.53</v>
      </c>
      <c r="N218">
        <v>6.67</v>
      </c>
      <c r="O218">
        <v>0.86</v>
      </c>
      <c r="P218">
        <v>88.58</v>
      </c>
      <c r="Q21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41"/>
  <sheetViews>
    <sheetView workbookViewId="0">
      <selection activeCell="B7" sqref="B7"/>
    </sheetView>
  </sheetViews>
  <sheetFormatPr defaultRowHeight="15" x14ac:dyDescent="0.25"/>
  <cols>
    <col min="1" max="1" width="12.7109375" bestFit="1" customWidth="1"/>
    <col min="2" max="2" width="10.7109375" bestFit="1" customWidth="1"/>
  </cols>
  <sheetData>
    <row r="1" spans="1:2" x14ac:dyDescent="0.25">
      <c r="B1" t="s">
        <v>8</v>
      </c>
    </row>
    <row r="4" spans="1:2" x14ac:dyDescent="0.25">
      <c r="A4" t="s">
        <v>0</v>
      </c>
      <c r="B4" t="s">
        <v>8</v>
      </c>
    </row>
    <row r="5" spans="1:2" x14ac:dyDescent="0.25">
      <c r="A5" t="s">
        <v>2</v>
      </c>
      <c r="B5" t="s">
        <v>3</v>
      </c>
    </row>
    <row r="6" spans="1:2" x14ac:dyDescent="0.25">
      <c r="A6" t="s">
        <v>1</v>
      </c>
      <c r="B6" t="s">
        <v>4</v>
      </c>
    </row>
    <row r="7" spans="1:2" x14ac:dyDescent="0.25">
      <c r="A7" t="s">
        <v>5</v>
      </c>
      <c r="B7" s="53">
        <v>1</v>
      </c>
    </row>
    <row r="8" spans="1:2" x14ac:dyDescent="0.25">
      <c r="A8" t="s">
        <v>6</v>
      </c>
      <c r="B8" s="1" t="str">
        <f>Dashboard!D1</f>
        <v>01.07.2019</v>
      </c>
    </row>
    <row r="9" spans="1:2" x14ac:dyDescent="0.25">
      <c r="A9" t="s">
        <v>7</v>
      </c>
      <c r="B9" s="1" t="str">
        <f>Dashboard!F1</f>
        <v>31.07.2019</v>
      </c>
    </row>
    <row r="41" spans="8:8" x14ac:dyDescent="0.25">
      <c r="H41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LoadInvoices">
                <anchor moveWithCells="1" sizeWithCells="1">
                  <from>
                    <xdr:col>4</xdr:col>
                    <xdr:colOff>419100</xdr:colOff>
                    <xdr:row>17</xdr:row>
                    <xdr:rowOff>28575</xdr:rowOff>
                  </from>
                  <to>
                    <xdr:col>6</xdr:col>
                    <xdr:colOff>533400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1FFBB77B22164CBD7EF6AB10760A88" ma:contentTypeVersion="6" ma:contentTypeDescription="Create a new document." ma:contentTypeScope="" ma:versionID="16b0125b266edfd2d5a52baba89c1a11">
  <xsd:schema xmlns:xsd="http://www.w3.org/2001/XMLSchema" xmlns:xs="http://www.w3.org/2001/XMLSchema" xmlns:p="http://schemas.microsoft.com/office/2006/metadata/properties" xmlns:ns2="5dcb1f15-ae2e-4eeb-84ed-f2b0717eba44" targetNamespace="http://schemas.microsoft.com/office/2006/metadata/properties" ma:root="true" ma:fieldsID="6aaf43b72cc7258f7be1828f6d90a5f6" ns2:_="">
    <xsd:import namespace="5dcb1f15-ae2e-4eeb-84ed-f2b0717eba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cb1f15-ae2e-4eeb-84ed-f2b0717eba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06B54B2-0132-4689-AE7D-F9369642FC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dcb1f15-ae2e-4eeb-84ed-f2b0717eba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C21D8E9-041E-456F-A1AB-1800794482A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F247B12-0C65-40C3-83F3-7A2607AC9CE4}">
  <ds:schemaRefs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5dcb1f15-ae2e-4eeb-84ed-f2b0717eba44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Dashboard</vt:lpstr>
      <vt:lpstr>TechsReport</vt:lpstr>
      <vt:lpstr>Control</vt:lpstr>
      <vt:lpstr>TechsReport.attendedtime</vt:lpstr>
      <vt:lpstr>TechsReport.clockedonjobs</vt:lpstr>
      <vt:lpstr>TechsReport.date</vt:lpstr>
      <vt:lpstr>TechsReport.effpercent</vt:lpstr>
      <vt:lpstr>TechsReport.hourssold</vt:lpstr>
      <vt:lpstr>TechsReport.hourstaken</vt:lpstr>
      <vt:lpstr>TechsReport.labourcos</vt:lpstr>
      <vt:lpstr>TechsReport.labourprofit</vt:lpstr>
      <vt:lpstr>TechsReport.labourrecovery</vt:lpstr>
      <vt:lpstr>TechsReport.laboursold</vt:lpstr>
      <vt:lpstr>TechsReport.menudiscount</vt:lpstr>
      <vt:lpstr>TechsReport.name</vt:lpstr>
      <vt:lpstr>TechsReport.no</vt:lpstr>
      <vt:lpstr>TechsReport.nonproductive</vt:lpstr>
      <vt:lpstr>TechsReport.parts</vt:lpstr>
      <vt:lpstr>TechsReport.utilisationpercent</vt:lpstr>
      <vt:lpstr>TechsReport.wipadj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Verona</dc:creator>
  <cp:lastModifiedBy>George Damjanovics</cp:lastModifiedBy>
  <cp:lastPrinted>2019-07-24T07:37:21Z</cp:lastPrinted>
  <dcterms:created xsi:type="dcterms:W3CDTF">2015-09-11T19:20:40Z</dcterms:created>
  <dcterms:modified xsi:type="dcterms:W3CDTF">2019-08-28T10:18:42Z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0x010100331FFBB77B22164CBD7EF6AB10760A88</vt:lpwstr>
  </property>
</Properties>
</file>